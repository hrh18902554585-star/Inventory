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sku商品编码" sheetId="3" r:id="rId1"/>
    <sheet name="成本表" sheetId="2" r:id="rId2"/>
    <sheet name="母婴奶粉编码" sheetId="4" r:id="rId3"/>
  </sheets>
  <definedNames>
    <definedName name="_xlnm._FilterDatabase" localSheetId="1" hidden="1">成本表!$A$1:$C$17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<sst xmlns="http://schemas.openxmlformats.org/spreadsheetml/2006/main" count="706" uniqueCount="396">
  <si>
    <t>组合编码</t>
  </si>
  <si>
    <t>单品编码</t>
  </si>
  <si>
    <t>商品名称</t>
  </si>
  <si>
    <t>数量</t>
  </si>
  <si>
    <t>单品成本</t>
  </si>
  <si>
    <t>sku成本</t>
  </si>
  <si>
    <t>QWH4891035068884YWXCC</t>
  </si>
  <si>
    <t>QWH8886451011299YWXCC</t>
  </si>
  <si>
    <t>QWH8886451011299YWXCC-3</t>
  </si>
  <si>
    <t>QWH8886451011299YWXCC-6</t>
  </si>
  <si>
    <t>RN84745786897219091815</t>
  </si>
  <si>
    <t>QWH4891035069164YWXCC</t>
  </si>
  <si>
    <t>QWH4891035065913YWXC-2</t>
  </si>
  <si>
    <t>QWH4891035065913YWXC</t>
  </si>
  <si>
    <t>QWH4891035065913YWXC-3</t>
  </si>
  <si>
    <t>QWH4891035065913AYWXCC</t>
  </si>
  <si>
    <t>QWH4891035065982AYWXCC-2</t>
  </si>
  <si>
    <t>QWH4891035065982AYWXCC</t>
  </si>
  <si>
    <t>QWH4891035065982YWXC</t>
  </si>
  <si>
    <t>QWH4891035065982YWXC-3</t>
  </si>
  <si>
    <t>QWH4891118025278YWXCZY-2</t>
  </si>
  <si>
    <t>QWH4891118025278YWXCZY</t>
  </si>
  <si>
    <t>QWH4891118025278YWXCZY-3</t>
  </si>
  <si>
    <t>QWH4891118025278YWXCZY-6</t>
  </si>
  <si>
    <t>QWH4891118018645YWXCC</t>
  </si>
  <si>
    <t>QWH043900293219YWXCZY</t>
  </si>
  <si>
    <t>QWH043900293219YWXCZY-3</t>
  </si>
  <si>
    <t>QWH043900293219YWXCZY-6</t>
  </si>
  <si>
    <t>QWH043900293219YWXCZY-2</t>
  </si>
  <si>
    <t>QWH043900293219YWXCZY-4</t>
  </si>
  <si>
    <t>雀巢蛋白补*4</t>
  </si>
  <si>
    <t>QWH8445290770189YWXCZY-6</t>
  </si>
  <si>
    <t>QWH8445290770189YWXCZY</t>
  </si>
  <si>
    <t>雀巢代餐奶昔-巧克力味</t>
  </si>
  <si>
    <t>QWH8445290770189YWXCZY-3</t>
  </si>
  <si>
    <t>女银275粒</t>
  </si>
  <si>
    <t>女维200粒两瓶装</t>
  </si>
  <si>
    <t>女维200粒</t>
  </si>
  <si>
    <t>男银275粒</t>
  </si>
  <si>
    <t>男维200粒</t>
  </si>
  <si>
    <t>紫钙120粒两瓶装</t>
  </si>
  <si>
    <t>紫钙120粒</t>
  </si>
  <si>
    <t>QWH8711000342107YWXCC</t>
  </si>
  <si>
    <t>QWH8711000075333YWXCC</t>
  </si>
  <si>
    <t>QWH9313923031817YWXCC</t>
  </si>
  <si>
    <t>QWH9313923031817YWXCC-3</t>
  </si>
  <si>
    <t>粉钙200粒两瓶装</t>
  </si>
  <si>
    <t>粉钙200粒</t>
  </si>
  <si>
    <t>粉钙120粒</t>
  </si>
  <si>
    <t>QWH9415007005469YWXC</t>
  </si>
  <si>
    <t>QWH4560122001072YWXCC</t>
  </si>
  <si>
    <t>dokan180酵素</t>
  </si>
  <si>
    <t>QWH4560122001072YWXCC-2</t>
  </si>
  <si>
    <t>dokan180酵素*2</t>
  </si>
  <si>
    <t>QWH4560122001072YWXCC-3</t>
  </si>
  <si>
    <t>dokan180酵素*3</t>
  </si>
  <si>
    <t>QWH4560122001072YWXCC-6</t>
  </si>
  <si>
    <t>dokan180酵素*6</t>
  </si>
  <si>
    <t>QWH4891035065913YWXC-6</t>
  </si>
  <si>
    <t>QWH4891035065913YWXCC</t>
  </si>
  <si>
    <t>雅培金装900g*1</t>
  </si>
  <si>
    <t>QWH4891035065913YWXC-4</t>
  </si>
  <si>
    <t>雅培金装900g*4</t>
  </si>
  <si>
    <t>QWH4891118018645YWXCC-2</t>
  </si>
  <si>
    <t>雅培怡保康850G*2</t>
  </si>
  <si>
    <t>RN84745786897219091815-4</t>
  </si>
  <si>
    <t>雅培怡保康850G*4</t>
  </si>
  <si>
    <t>QWH8809807288534YWXCZY</t>
  </si>
  <si>
    <t>善存营养包男30+</t>
  </si>
  <si>
    <t>QWH8809807288534YWXCZY-2</t>
  </si>
  <si>
    <t>善存营养包男30+*2</t>
  </si>
  <si>
    <t>QWH8809807288527YWXCZY</t>
  </si>
  <si>
    <t>善存营养包女30+</t>
  </si>
  <si>
    <t>QWH4891035065982AYWXCC-3</t>
  </si>
  <si>
    <t>雅培低糖850G</t>
  </si>
  <si>
    <t>TCWL001</t>
  </si>
  <si>
    <t>启赋未来1段*1</t>
  </si>
  <si>
    <t>TCWL001#2</t>
  </si>
  <si>
    <t>启赋未来1段*2</t>
  </si>
  <si>
    <t>TCWL001#3</t>
  </si>
  <si>
    <t>启赋未来1段*3</t>
  </si>
  <si>
    <t>TCWL001#4</t>
  </si>
  <si>
    <t>启赋未来1段*4</t>
  </si>
  <si>
    <t>TCWL001#5</t>
  </si>
  <si>
    <t>启赋未来1段*5</t>
  </si>
  <si>
    <t>TCWL001#6</t>
  </si>
  <si>
    <t>启赋未来1段*6</t>
  </si>
  <si>
    <t>TCWL002</t>
  </si>
  <si>
    <t>启赋未来2段*1</t>
  </si>
  <si>
    <t>TCWL002#2</t>
  </si>
  <si>
    <t>启赋未来2段*2</t>
  </si>
  <si>
    <t>TCWL002#3</t>
  </si>
  <si>
    <t>启赋未来2段*3</t>
  </si>
  <si>
    <t>TCWL002#4</t>
  </si>
  <si>
    <t>启赋未来2段*4</t>
  </si>
  <si>
    <t>TCWL002#5</t>
  </si>
  <si>
    <t>启赋未来2段*5</t>
  </si>
  <si>
    <t>TCWL002#6</t>
  </si>
  <si>
    <t>启赋未来2段*6</t>
  </si>
  <si>
    <t>TCWL003</t>
  </si>
  <si>
    <t>启赋未来3段*1</t>
  </si>
  <si>
    <t>TCWL003#2</t>
  </si>
  <si>
    <t>启赋未来3段*2</t>
  </si>
  <si>
    <t>TCWL003#3</t>
  </si>
  <si>
    <t>启赋未来3段*3</t>
  </si>
  <si>
    <t>TCWL003#4</t>
  </si>
  <si>
    <t>启赋未来3段*4</t>
  </si>
  <si>
    <t>TCWL003#5</t>
  </si>
  <si>
    <t>启赋未来3段*5</t>
  </si>
  <si>
    <t>TCWL003#6</t>
  </si>
  <si>
    <t>启赋未来3段*6</t>
  </si>
  <si>
    <t>TCWL004</t>
  </si>
  <si>
    <t>启赋未来4段*1</t>
  </si>
  <si>
    <t>TCWL004#2</t>
  </si>
  <si>
    <t>启赋未来4段*2</t>
  </si>
  <si>
    <t>TCWL004#3</t>
  </si>
  <si>
    <t>启赋未来4段*3</t>
  </si>
  <si>
    <t>TCWL004#4</t>
  </si>
  <si>
    <t>启赋未来4段*4</t>
  </si>
  <si>
    <t>TCWL004#5</t>
  </si>
  <si>
    <t>启赋未来4段*5</t>
  </si>
  <si>
    <t>TCWL004#6</t>
  </si>
  <si>
    <t>启赋未来4段*6</t>
  </si>
  <si>
    <t>TCQCQH001</t>
  </si>
  <si>
    <t>启护1段*1</t>
  </si>
  <si>
    <t>TCQCQH001#2</t>
  </si>
  <si>
    <t>启护1段*2</t>
  </si>
  <si>
    <t>TCQCQH001#3</t>
  </si>
  <si>
    <t>启护1段*3</t>
  </si>
  <si>
    <t>TCQCQH001#4</t>
  </si>
  <si>
    <t>启护1段*4</t>
  </si>
  <si>
    <t>TCQCQH001#5</t>
  </si>
  <si>
    <t>启护1段*5</t>
  </si>
  <si>
    <t>TCQCQH001#6</t>
  </si>
  <si>
    <t>启护1段*6</t>
  </si>
  <si>
    <t>TCQCQH002</t>
  </si>
  <si>
    <t>启护2段*1</t>
  </si>
  <si>
    <t>TCQCQH002#2</t>
  </si>
  <si>
    <t>启护2段*2</t>
  </si>
  <si>
    <t>TCQCQH002#3</t>
  </si>
  <si>
    <t>启护2段*3</t>
  </si>
  <si>
    <t>TCQCQH002#4</t>
  </si>
  <si>
    <t>启护2段*4</t>
  </si>
  <si>
    <t>TCQCQH002#5</t>
  </si>
  <si>
    <t>启护2段*5</t>
  </si>
  <si>
    <t>TCQCQH002#6</t>
  </si>
  <si>
    <t>启护2段*6</t>
  </si>
  <si>
    <t>TCQCQH003</t>
  </si>
  <si>
    <t>启护3段*1</t>
  </si>
  <si>
    <t>TCQCQH003#2</t>
  </si>
  <si>
    <t>启护3段*2</t>
  </si>
  <si>
    <t>TCQCQH003#3</t>
  </si>
  <si>
    <t>启护3段*3</t>
  </si>
  <si>
    <t>TCQCQH003#4</t>
  </si>
  <si>
    <t>启护3段*4</t>
  </si>
  <si>
    <t>TCQCQH003#5</t>
  </si>
  <si>
    <t>启护3段*5</t>
  </si>
  <si>
    <t>TCQCQH003#6</t>
  </si>
  <si>
    <t>启护3段*6</t>
  </si>
  <si>
    <t>TCQCQH004</t>
  </si>
  <si>
    <t>启护4段*1</t>
  </si>
  <si>
    <t>TCQCQH004#2</t>
  </si>
  <si>
    <t>启护4段*2</t>
  </si>
  <si>
    <t>TCQCQH004#3</t>
  </si>
  <si>
    <t>启护4段*3</t>
  </si>
  <si>
    <t>TCQCQH004#4</t>
  </si>
  <si>
    <t>启护4段*4</t>
  </si>
  <si>
    <t>TCQCQH004#5</t>
  </si>
  <si>
    <t>启护4段*5</t>
  </si>
  <si>
    <t>TCQCQH004#6</t>
  </si>
  <si>
    <t>启护4段*6</t>
  </si>
  <si>
    <t>TCJZ001</t>
  </si>
  <si>
    <t>金装1段*1</t>
  </si>
  <si>
    <t>TCJZ001#2</t>
  </si>
  <si>
    <t>金装1段*2</t>
  </si>
  <si>
    <t>TCJZ001#3</t>
  </si>
  <si>
    <t>金装1段*3</t>
  </si>
  <si>
    <t>TCJZ001#4</t>
  </si>
  <si>
    <t>金装1段*4</t>
  </si>
  <si>
    <t>TCJZ001#5</t>
  </si>
  <si>
    <t>金装1段*5</t>
  </si>
  <si>
    <t>TCJZ001#6</t>
  </si>
  <si>
    <t>金装1段*6</t>
  </si>
  <si>
    <t>TCJZ002</t>
  </si>
  <si>
    <t>金装2段*1</t>
  </si>
  <si>
    <t>TCJZ002#2</t>
  </si>
  <si>
    <t>金装2段*2</t>
  </si>
  <si>
    <t>TCJZ002#3</t>
  </si>
  <si>
    <t>金装2段*3</t>
  </si>
  <si>
    <t>TCJZ002#4</t>
  </si>
  <si>
    <t>金装2段*4</t>
  </si>
  <si>
    <t>TCJZ002#5</t>
  </si>
  <si>
    <t>金装2段*5</t>
  </si>
  <si>
    <t>TCJZ002#6</t>
  </si>
  <si>
    <t>金装2段*6</t>
  </si>
  <si>
    <t>TCJZ003</t>
  </si>
  <si>
    <t>金装3段*1</t>
  </si>
  <si>
    <t>TCJZ003#2</t>
  </si>
  <si>
    <t>金装3段*2</t>
  </si>
  <si>
    <t>TCJZ003#3</t>
  </si>
  <si>
    <t>金装3段*3</t>
  </si>
  <si>
    <t>TCJZ003#4</t>
  </si>
  <si>
    <t>金装3段*4</t>
  </si>
  <si>
    <t>TCJZ003#5</t>
  </si>
  <si>
    <t>金装3段*5</t>
  </si>
  <si>
    <t>TCJZ003#6</t>
  </si>
  <si>
    <t>金装3段*6</t>
  </si>
  <si>
    <t>TCJZ004</t>
  </si>
  <si>
    <t>金装4段*1</t>
  </si>
  <si>
    <t>TCJZ004#2</t>
  </si>
  <si>
    <t>金装4段*2</t>
  </si>
  <si>
    <t>TCJZ004#3</t>
  </si>
  <si>
    <t>金装4段*3</t>
  </si>
  <si>
    <t>TCJZ004#4</t>
  </si>
  <si>
    <t>金装4段*4</t>
  </si>
  <si>
    <t>TCJZ004#5</t>
  </si>
  <si>
    <t>金装4段*5</t>
  </si>
  <si>
    <t>TCJZ004#6</t>
  </si>
  <si>
    <t>金装4段*6</t>
  </si>
  <si>
    <t>TCBZ002</t>
  </si>
  <si>
    <t>铂臻2段*1</t>
  </si>
  <si>
    <t>TCBZ002#2</t>
  </si>
  <si>
    <t>铂臻2段*2</t>
  </si>
  <si>
    <t>TCBZ002#3</t>
  </si>
  <si>
    <t>铂臻2段*3</t>
  </si>
  <si>
    <t>TCBZ002#4</t>
  </si>
  <si>
    <t>铂臻2段*4</t>
  </si>
  <si>
    <t>TCBZ002#5</t>
  </si>
  <si>
    <t>铂臻2段*5</t>
  </si>
  <si>
    <t>TCBZ002#6</t>
  </si>
  <si>
    <t>铂臻2段*6</t>
  </si>
  <si>
    <t>TCZYG002</t>
  </si>
  <si>
    <t>Ascenda火箭罐1600g*1</t>
  </si>
  <si>
    <t>TCZYG002#2</t>
  </si>
  <si>
    <t>Ascenda火箭罐1600g*2</t>
  </si>
  <si>
    <t>TCZYG002#3</t>
  </si>
  <si>
    <t>Ascenda火箭罐1600g*3</t>
  </si>
  <si>
    <t>TCZYG002#4</t>
  </si>
  <si>
    <t>Ascenda火箭罐1600g*4</t>
  </si>
  <si>
    <t>TCZYG002#5</t>
  </si>
  <si>
    <t>Ascenda火箭罐1600g*5</t>
  </si>
  <si>
    <t>TCZYG002#6</t>
  </si>
  <si>
    <t>Ascenda火箭罐1600g*6</t>
  </si>
  <si>
    <t>TCZYG001</t>
  </si>
  <si>
    <t>Ascenda火箭罐850g*1</t>
  </si>
  <si>
    <t>TCZYG001#2</t>
  </si>
  <si>
    <t>Ascenda火箭罐850g*2</t>
  </si>
  <si>
    <t>TCZYG001#3</t>
  </si>
  <si>
    <t>Ascenda火箭罐850g*3</t>
  </si>
  <si>
    <t>TCZYG001#4</t>
  </si>
  <si>
    <t>Ascenda火箭罐850g*4</t>
  </si>
  <si>
    <t>TCZYG001#5</t>
  </si>
  <si>
    <t>Ascenda火箭罐850g*5</t>
  </si>
  <si>
    <t>TCZYG001#6</t>
  </si>
  <si>
    <t>Ascenda火箭罐850g*6</t>
  </si>
  <si>
    <t>TCQCQH4</t>
  </si>
  <si>
    <t>全护1段*1</t>
  </si>
  <si>
    <t>TCQCQH4#2</t>
  </si>
  <si>
    <t>全护1段*2</t>
  </si>
  <si>
    <t>TCQCQH4#3</t>
  </si>
  <si>
    <t>全护1段*3</t>
  </si>
  <si>
    <t>TCQCQH4#4</t>
  </si>
  <si>
    <t>全护1段*4</t>
  </si>
  <si>
    <t>TCQCQH4#5</t>
  </si>
  <si>
    <t>全护1段*5</t>
  </si>
  <si>
    <t>TCQCQH4#6</t>
  </si>
  <si>
    <t>全护1段*6</t>
  </si>
  <si>
    <t>TCQCQH3</t>
  </si>
  <si>
    <t>全护3段*1</t>
  </si>
  <si>
    <t>TCQCQH3#2</t>
  </si>
  <si>
    <t>全护3段*2</t>
  </si>
  <si>
    <t>TCQCQH3#3</t>
  </si>
  <si>
    <t>全护3段*3</t>
  </si>
  <si>
    <t>TCQCQH3#4</t>
  </si>
  <si>
    <t>全护3段*4</t>
  </si>
  <si>
    <t>TCQCQH3#5</t>
  </si>
  <si>
    <t>全护3段*5</t>
  </si>
  <si>
    <t>TCQCQH3#6</t>
  </si>
  <si>
    <t>全护3段*6</t>
  </si>
  <si>
    <t>TCHSA21</t>
  </si>
  <si>
    <t>luxa A2启赋双萃1段*1</t>
  </si>
  <si>
    <t>TCHSA21#2</t>
  </si>
  <si>
    <t>luxa A2启赋双萃1段*2</t>
  </si>
  <si>
    <t>TCHSA21#3</t>
  </si>
  <si>
    <t>luxa A2启赋双萃1段*3</t>
  </si>
  <si>
    <t>TCHSA21#4</t>
  </si>
  <si>
    <t>luxa A2启赋双萃1段*4</t>
  </si>
  <si>
    <t>TCHSA21#5</t>
  </si>
  <si>
    <t>luxa A2启赋双萃1段*5</t>
  </si>
  <si>
    <t>TCHSA21#6</t>
  </si>
  <si>
    <t>luxa A2启赋双萃1段*6</t>
  </si>
  <si>
    <t>QWH8445290771025YWXCZY</t>
  </si>
  <si>
    <t>雀巢代餐奶昔-香草味</t>
  </si>
  <si>
    <t>QWH8445290771025YWXCZY-3</t>
  </si>
  <si>
    <t>雀巢代餐奶昔-香草味*3</t>
  </si>
  <si>
    <t>QWH8445290771025YWXCZY-6</t>
  </si>
  <si>
    <t>雀巢代餐奶昔-香草味*6</t>
  </si>
  <si>
    <t>QWH7613035758377YWXCZY</t>
  </si>
  <si>
    <t>雀巢代餐奶昔-草莓味</t>
  </si>
  <si>
    <t>QWH7613035758377YWXCZY-3</t>
  </si>
  <si>
    <t>雀巢代餐奶昔-草莓味*3</t>
  </si>
  <si>
    <t>QWH7613035758377YWXCZY-6</t>
  </si>
  <si>
    <t>雀巢代餐奶昔-草莓味*6</t>
  </si>
  <si>
    <t>QWH8809807288558YWXCZY</t>
  </si>
  <si>
    <t>善存40+女士营养包</t>
  </si>
  <si>
    <t>QWH8809807288558YWXCZY-2</t>
  </si>
  <si>
    <t>善存40+女士营养包*2</t>
  </si>
  <si>
    <t>QWH8809807288558YWXCZY-3</t>
  </si>
  <si>
    <t>善存40+女士营养包*3</t>
  </si>
  <si>
    <t>QWH8809807288558YWXCZY-6</t>
  </si>
  <si>
    <t>善存40+女士营养包*6</t>
  </si>
  <si>
    <t>QWH020525000019YWXCZY</t>
  </si>
  <si>
    <t>益节红瓶</t>
  </si>
  <si>
    <t>QWH4891118023496YWXCZY</t>
  </si>
  <si>
    <t>雀巢纤维乐</t>
  </si>
  <si>
    <t>QWH4891118023496YWXCZY-2</t>
  </si>
  <si>
    <t>雀巢纤维乐*2</t>
  </si>
  <si>
    <t>QWH8809807288541YWXCZY</t>
  </si>
  <si>
    <t>善存40+男士营养包</t>
  </si>
  <si>
    <t>QWH8809807288541YWXCZY-2</t>
  </si>
  <si>
    <t>善存40+男士营养包*2</t>
  </si>
  <si>
    <t>QWH8809807288541YWXCZY-3</t>
  </si>
  <si>
    <t>善存40+男士营养包*3</t>
  </si>
  <si>
    <t>QWH8809807288541YWXCZY-6</t>
  </si>
  <si>
    <t>善存40+男士营养包*6</t>
  </si>
  <si>
    <t>Nestle-ZHCMWsanjiantao</t>
  </si>
  <si>
    <t>【雀巢三件套】</t>
  </si>
  <si>
    <t>QWH305734755715YWXCZY</t>
  </si>
  <si>
    <t>善存维生素200粒</t>
  </si>
  <si>
    <t>商品编码</t>
  </si>
  <si>
    <t>成本</t>
  </si>
  <si>
    <t>雅培怡保康礼盒850G*2</t>
  </si>
  <si>
    <t>雅培怡保康850G</t>
  </si>
  <si>
    <t>雅培金装礼盒900G*2</t>
  </si>
  <si>
    <t>雅培金装900G</t>
  </si>
  <si>
    <t>雀巢速愈素</t>
  </si>
  <si>
    <t>雀巢即溶奶粉2.2KG</t>
  </si>
  <si>
    <t>雀巢蛋白补227</t>
  </si>
  <si>
    <t>摩可纳10号</t>
  </si>
  <si>
    <t>摩卡纳8号</t>
  </si>
  <si>
    <t>和丽康海藻钙</t>
  </si>
  <si>
    <t>安怡长青1700G</t>
  </si>
  <si>
    <t>TCHSA23</t>
  </si>
  <si>
    <t>TCHSA23#2</t>
  </si>
  <si>
    <t>TCHSA23#3</t>
  </si>
  <si>
    <t>TCHSA23#4</t>
  </si>
  <si>
    <t>TCHSA23#5</t>
  </si>
  <si>
    <t>TCHSA23#6</t>
  </si>
  <si>
    <t>TCHA001</t>
  </si>
  <si>
    <t>TCHA001#2</t>
  </si>
  <si>
    <t>TCHA001#3</t>
  </si>
  <si>
    <t>TCHA001#4</t>
  </si>
  <si>
    <t>TCHA001#5</t>
  </si>
  <si>
    <t>TCHA001#6</t>
  </si>
  <si>
    <t>TCHA002</t>
  </si>
  <si>
    <t>TCHA002#2</t>
  </si>
  <si>
    <t>TCHA002#3</t>
  </si>
  <si>
    <t>TCHA002#4</t>
  </si>
  <si>
    <t>TCHA002#5</t>
  </si>
  <si>
    <t>TCHA002#6</t>
  </si>
  <si>
    <t>TCQHX001</t>
  </si>
  <si>
    <t>TCQHX001#2</t>
  </si>
  <si>
    <t>TCQHX001#3</t>
  </si>
  <si>
    <t>TCQHX001#4</t>
  </si>
  <si>
    <t>TCQHX001#5</t>
  </si>
  <si>
    <t>TCQHX001#6</t>
  </si>
  <si>
    <t>TCQHX002</t>
  </si>
  <si>
    <t>TCQHX002#2</t>
  </si>
  <si>
    <t>TCQHX002#3</t>
  </si>
  <si>
    <t>TCQHX002#4</t>
  </si>
  <si>
    <t>TCQHX002#5</t>
  </si>
  <si>
    <t>TCQHX002#6</t>
  </si>
  <si>
    <t>TC7HMOQH001</t>
  </si>
  <si>
    <t>TC7HMOQH001#2</t>
  </si>
  <si>
    <t>TC7HMOQH001#3</t>
  </si>
  <si>
    <t>TC7HMOQH001#4</t>
  </si>
  <si>
    <t>TC7HMOQH001#5</t>
  </si>
  <si>
    <t>TC7HMOQH001#6</t>
  </si>
  <si>
    <t>TC7HMOQH002</t>
  </si>
  <si>
    <t>TC7HMOQH002#2</t>
  </si>
  <si>
    <t>TC7HMOQH002#3</t>
  </si>
  <si>
    <t>TC7HMOQH002#4</t>
  </si>
  <si>
    <t>TC7HMOQH002#5</t>
  </si>
  <si>
    <t>TC7HMOQH002#6</t>
  </si>
  <si>
    <t>TC7HMOQH003</t>
  </si>
  <si>
    <t>TC7HMOQH003#2</t>
  </si>
  <si>
    <t>TC7HMOQH003#3</t>
  </si>
  <si>
    <t>TC7HMOQH003#4</t>
  </si>
  <si>
    <t>TC7HMOQH003#5</t>
  </si>
  <si>
    <t>TC7HMOQH003#6</t>
  </si>
  <si>
    <t>TC7HMOQH004</t>
  </si>
  <si>
    <t>TC7HMOQH004#2</t>
  </si>
  <si>
    <t>TC7HMOQH004#3</t>
  </si>
  <si>
    <t>TC7HMOQH004#4</t>
  </si>
  <si>
    <t>TC7HMOQH004#5</t>
  </si>
  <si>
    <t>TC7HMOQH004#6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</si>
</sst>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2"/>
  <sheetViews>
    <sheetView topLeftCell="A133" workbookViewId="0">
      <selection activeCell="H169" sqref="H169"/>
    </sheetView>
  </sheetViews>
  <sheetFormatPr defaultColWidth="9" defaultRowHeight="13.5" outlineLevelCol="5"/>
  <cols>
    <col min="1" max="1" width="27.125" style="6" customWidth="1"/>
    <col min="2" max="3" width="24.875" style="6" customWidth="1"/>
    <col min="4" max="4" width="15.375" style="6" customWidth="1"/>
    <col min="5" max="5" width="15.375" style="7" customWidth="1"/>
    <col min="6" max="6" width="15.375" style="8" customWidth="1"/>
    <col min="7" max="16384" width="9" style="6"/>
  </cols>
  <sheetData>
    <row r="1" ht="42" customHeight="1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1" t="s">
        <v>5</v>
      </c>
    </row>
    <row r="2" spans="1:6">
      <c r="A2" s="6" t="s">
        <v>6</v>
      </c>
      <c r="B2" s="6" t="s">
        <v>6</v>
      </c>
      <c r="C2" s="6" t="str">
        <f>VLOOKUP(B2,成本表!A:B,2,FALSE)</f>
        <v>雅培怡保康礼盒850G*2</v>
      </c>
      <c r="D2" s="6">
        <v>1</v>
      </c>
      <c r="E2" s="7">
        <f>VLOOKUP(B2,成本表!A:C,3,FALSE)</f>
        <v>382</v>
      </c>
      <c r="F2" s="8">
        <f t="shared" ref="F2:F65" si="0">E2*D2</f>
        <v>382</v>
      </c>
    </row>
    <row r="3" spans="1:6">
      <c r="A3" s="6" t="s">
        <v>7</v>
      </c>
      <c r="B3" s="6" t="s">
        <v>7</v>
      </c>
      <c r="C3" s="6" t="str">
        <f>VLOOKUP(B3,成本表!A:B,2,FALSE)</f>
        <v>雅培怡保康850G</v>
      </c>
      <c r="D3" s="6">
        <v>1</v>
      </c>
      <c r="E3" s="7">
        <f>VLOOKUP(B3,成本表!A:C,3,FALSE)</f>
        <v>187</v>
      </c>
      <c r="F3" s="8">
        <f t="shared" si="0"/>
        <v>187</v>
      </c>
    </row>
    <row r="4" spans="1:6">
      <c r="A4" s="6" t="s">
        <v>8</v>
      </c>
      <c r="B4" s="6" t="s">
        <v>7</v>
      </c>
      <c r="C4" s="6" t="str">
        <f>VLOOKUP(B4,成本表!A:B,2,FALSE)</f>
        <v>雅培怡保康850G</v>
      </c>
      <c r="D4" s="6">
        <v>3</v>
      </c>
      <c r="E4" s="7">
        <f>VLOOKUP(B4,成本表!A:C,3,FALSE)</f>
        <v>187</v>
      </c>
      <c r="F4" s="8">
        <f t="shared" si="0"/>
        <v>561</v>
      </c>
    </row>
    <row r="5" spans="1:6">
      <c r="A5" s="6" t="s">
        <v>9</v>
      </c>
      <c r="B5" s="6" t="s">
        <v>7</v>
      </c>
      <c r="C5" s="6" t="str">
        <f>VLOOKUP(B5,成本表!A:B,2,FALSE)</f>
        <v>雅培怡保康850G</v>
      </c>
      <c r="D5" s="6">
        <v>6</v>
      </c>
      <c r="E5" s="7">
        <f>VLOOKUP(B5,成本表!A:C,3,FALSE)</f>
        <v>187</v>
      </c>
      <c r="F5" s="8">
        <f t="shared" si="0"/>
        <v>1122</v>
      </c>
    </row>
    <row r="6" spans="1:6">
      <c r="A6" s="6" t="s">
        <v>10</v>
      </c>
      <c r="B6" s="6" t="s">
        <v>10</v>
      </c>
      <c r="C6" s="6" t="str">
        <f>VLOOKUP(B6,成本表!A:B,2,FALSE)</f>
        <v>雅培怡保康850G</v>
      </c>
      <c r="D6" s="6">
        <v>1</v>
      </c>
      <c r="E6" s="7">
        <f>VLOOKUP(B6,成本表!A:C,3,FALSE)</f>
        <v>187</v>
      </c>
      <c r="F6" s="8">
        <f t="shared" si="0"/>
        <v>187</v>
      </c>
    </row>
    <row r="7" spans="1:6">
      <c r="A7" s="6" t="s">
        <v>11</v>
      </c>
      <c r="B7" s="6" t="s">
        <v>11</v>
      </c>
      <c r="C7" s="6" t="str">
        <f>VLOOKUP(B7,成本表!A:B,2,FALSE)</f>
        <v>雅培金装礼盒900G*2</v>
      </c>
      <c r="D7" s="6">
        <v>1</v>
      </c>
      <c r="E7" s="7">
        <f>VLOOKUP(B7,成本表!A:C,3,FALSE)</f>
        <v>338</v>
      </c>
      <c r="F7" s="8">
        <f t="shared" si="0"/>
        <v>338</v>
      </c>
    </row>
    <row r="8" spans="1:6">
      <c r="A8" s="6" t="s">
        <v>12</v>
      </c>
      <c r="B8" s="6" t="s">
        <v>13</v>
      </c>
      <c r="C8" s="6" t="str">
        <f>VLOOKUP(B8,成本表!A:B,2,FALSE)</f>
        <v>雅培金装900G</v>
      </c>
      <c r="D8" s="6">
        <v>2</v>
      </c>
      <c r="E8" s="7">
        <f>VLOOKUP(B8,成本表!A:C,3,FALSE)</f>
        <v>180</v>
      </c>
      <c r="F8" s="8">
        <f t="shared" si="0"/>
        <v>360</v>
      </c>
    </row>
    <row r="9" spans="1:6">
      <c r="A9" s="6" t="s">
        <v>14</v>
      </c>
      <c r="B9" s="6" t="s">
        <v>13</v>
      </c>
      <c r="C9" s="6" t="str">
        <f>VLOOKUP(B9,成本表!A:B,2,FALSE)</f>
        <v>雅培金装900G</v>
      </c>
      <c r="D9" s="6">
        <v>3</v>
      </c>
      <c r="E9" s="7">
        <f>VLOOKUP(B9,成本表!A:C,3,FALSE)</f>
        <v>180</v>
      </c>
      <c r="F9" s="8">
        <f t="shared" si="0"/>
        <v>540</v>
      </c>
    </row>
    <row r="10" spans="1:6">
      <c r="A10" s="6" t="s">
        <v>15</v>
      </c>
      <c r="B10" s="6" t="s">
        <v>15</v>
      </c>
      <c r="C10" s="6" t="str">
        <f>VLOOKUP(B10,成本表!A:B,2,FALSE)</f>
        <v>雅培金装900G</v>
      </c>
      <c r="D10" s="6">
        <v>1</v>
      </c>
      <c r="E10" s="7">
        <f>VLOOKUP(B10,成本表!A:C,3,FALSE)</f>
        <v>180</v>
      </c>
      <c r="F10" s="8">
        <f t="shared" si="0"/>
        <v>180</v>
      </c>
    </row>
    <row r="11" spans="1:6">
      <c r="A11" s="6" t="s">
        <v>16</v>
      </c>
      <c r="B11" s="6" t="s">
        <v>17</v>
      </c>
      <c r="C11" s="6" t="str">
        <f>VLOOKUP(B11,成本表!A:B,2,FALSE)</f>
        <v>雅培低糖850G</v>
      </c>
      <c r="D11" s="6">
        <v>2</v>
      </c>
      <c r="E11" s="7">
        <f>VLOOKUP(B11,成本表!A:C,3,FALSE)</f>
        <v>175</v>
      </c>
      <c r="F11" s="8">
        <f t="shared" si="0"/>
        <v>350</v>
      </c>
    </row>
    <row r="12" spans="1:6">
      <c r="A12" s="6" t="s">
        <v>17</v>
      </c>
      <c r="B12" s="6" t="s">
        <v>17</v>
      </c>
      <c r="C12" s="6" t="str">
        <f>VLOOKUP(B12,成本表!A:B,2,FALSE)</f>
        <v>雅培低糖850G</v>
      </c>
      <c r="D12" s="6">
        <v>1</v>
      </c>
      <c r="E12" s="7">
        <f>VLOOKUP(B12,成本表!A:C,3,FALSE)</f>
        <v>175</v>
      </c>
      <c r="F12" s="8">
        <f t="shared" si="0"/>
        <v>175</v>
      </c>
    </row>
    <row r="13" spans="1:6">
      <c r="A13" s="6" t="s">
        <v>18</v>
      </c>
      <c r="B13" s="6" t="s">
        <v>18</v>
      </c>
      <c r="C13" s="6" t="str">
        <f>VLOOKUP(B13,成本表!A:B,2,FALSE)</f>
        <v>雅培低糖850G</v>
      </c>
      <c r="D13" s="6">
        <v>1</v>
      </c>
      <c r="E13" s="7">
        <f>VLOOKUP(B13,成本表!A:C,3,FALSE)</f>
        <v>175</v>
      </c>
      <c r="F13" s="8">
        <f t="shared" si="0"/>
        <v>175</v>
      </c>
    </row>
    <row r="14" spans="1:6">
      <c r="A14" s="6" t="s">
        <v>19</v>
      </c>
      <c r="B14" s="6" t="s">
        <v>18</v>
      </c>
      <c r="C14" s="6" t="str">
        <f>VLOOKUP(B14,成本表!A:B,2,FALSE)</f>
        <v>雅培低糖850G</v>
      </c>
      <c r="D14" s="6">
        <v>3</v>
      </c>
      <c r="E14" s="7">
        <f>VLOOKUP(B14,成本表!A:C,3,FALSE)</f>
        <v>175</v>
      </c>
      <c r="F14" s="8">
        <f t="shared" si="0"/>
        <v>525</v>
      </c>
    </row>
    <row r="15" spans="1:6">
      <c r="A15" s="6" t="s">
        <v>20</v>
      </c>
      <c r="B15" s="6" t="s">
        <v>21</v>
      </c>
      <c r="C15" s="6" t="str">
        <f>VLOOKUP(B15,成本表!A:B,2,FALSE)</f>
        <v>雀巢速愈素</v>
      </c>
      <c r="D15" s="6">
        <v>2</v>
      </c>
      <c r="E15" s="7">
        <f>VLOOKUP(B15,成本表!A:C,3,FALSE)</f>
        <v>199</v>
      </c>
      <c r="F15" s="8">
        <f t="shared" si="0"/>
        <v>398</v>
      </c>
    </row>
    <row r="16" spans="1:6">
      <c r="A16" s="6" t="s">
        <v>22</v>
      </c>
      <c r="B16" s="6" t="s">
        <v>21</v>
      </c>
      <c r="C16" s="6" t="str">
        <f>VLOOKUP(B16,成本表!A:B,2,FALSE)</f>
        <v>雀巢速愈素</v>
      </c>
      <c r="D16" s="6">
        <v>3</v>
      </c>
      <c r="E16" s="7">
        <f>VLOOKUP(B16,成本表!A:C,3,FALSE)</f>
        <v>199</v>
      </c>
      <c r="F16" s="8">
        <f t="shared" si="0"/>
        <v>597</v>
      </c>
    </row>
    <row r="17" spans="1:6">
      <c r="A17" s="6" t="s">
        <v>21</v>
      </c>
      <c r="B17" s="6" t="s">
        <v>21</v>
      </c>
      <c r="C17" s="6" t="str">
        <f>VLOOKUP(B17,成本表!A:B,2,FALSE)</f>
        <v>雀巢速愈素</v>
      </c>
      <c r="D17" s="6">
        <v>1</v>
      </c>
      <c r="E17" s="7">
        <f>VLOOKUP(B17,成本表!A:C,3,FALSE)</f>
        <v>199</v>
      </c>
      <c r="F17" s="8">
        <f t="shared" si="0"/>
        <v>199</v>
      </c>
    </row>
    <row r="18" spans="1:6">
      <c r="A18" s="6" t="s">
        <v>23</v>
      </c>
      <c r="B18" s="6" t="s">
        <v>21</v>
      </c>
      <c r="C18" s="6" t="str">
        <f>VLOOKUP(B18,成本表!A:B,2,FALSE)</f>
        <v>雀巢速愈素</v>
      </c>
      <c r="D18" s="6">
        <v>6</v>
      </c>
      <c r="E18" s="7">
        <f>VLOOKUP(B18,成本表!A:C,3,FALSE)</f>
        <v>199</v>
      </c>
      <c r="F18" s="8">
        <f t="shared" si="0"/>
        <v>1194</v>
      </c>
    </row>
    <row r="19" spans="1:6">
      <c r="A19" s="6" t="s">
        <v>24</v>
      </c>
      <c r="B19" s="6" t="s">
        <v>24</v>
      </c>
      <c r="C19" s="6" t="str">
        <f>VLOOKUP(B19,成本表!A:B,2,FALSE)</f>
        <v>雀巢即溶奶粉2.2KG</v>
      </c>
      <c r="D19" s="6">
        <v>1</v>
      </c>
      <c r="E19" s="7">
        <f>VLOOKUP(B19,成本表!A:C,3,FALSE)</f>
        <v>159</v>
      </c>
      <c r="F19" s="8">
        <f t="shared" si="0"/>
        <v>159</v>
      </c>
    </row>
    <row r="20" spans="1:6">
      <c r="A20" s="6" t="s">
        <v>25</v>
      </c>
      <c r="B20" s="6" t="s">
        <v>25</v>
      </c>
      <c r="C20" s="6" t="str">
        <f>VLOOKUP(B20,成本表!A:B,2,FALSE)</f>
        <v>雀巢蛋白补227</v>
      </c>
      <c r="D20" s="6">
        <v>1</v>
      </c>
      <c r="E20" s="7">
        <f>VLOOKUP(B20,成本表!A:C,3,FALSE)</f>
        <v>72.5</v>
      </c>
      <c r="F20" s="8">
        <f t="shared" si="0"/>
        <v>72.5</v>
      </c>
    </row>
    <row r="21" spans="1:6">
      <c r="A21" s="6" t="s">
        <v>26</v>
      </c>
      <c r="B21" s="6" t="s">
        <v>25</v>
      </c>
      <c r="C21" s="6" t="str">
        <f>VLOOKUP(B21,成本表!A:B,2,FALSE)</f>
        <v>雀巢蛋白补227</v>
      </c>
      <c r="D21" s="6">
        <v>3</v>
      </c>
      <c r="E21" s="7">
        <f>VLOOKUP(B21,成本表!A:C,3,FALSE)</f>
        <v>72.5</v>
      </c>
      <c r="F21" s="8">
        <f t="shared" si="0"/>
        <v>217.5</v>
      </c>
    </row>
    <row r="22" spans="1:6">
      <c r="A22" s="6" t="s">
        <v>27</v>
      </c>
      <c r="B22" s="6" t="s">
        <v>25</v>
      </c>
      <c r="C22" s="6" t="str">
        <f>VLOOKUP(B22,成本表!A:B,2,FALSE)</f>
        <v>雀巢蛋白补227</v>
      </c>
      <c r="D22" s="6">
        <v>6</v>
      </c>
      <c r="E22" s="7">
        <f>VLOOKUP(B22,成本表!A:C,3,FALSE)</f>
        <v>72.5</v>
      </c>
      <c r="F22" s="8">
        <f t="shared" si="0"/>
        <v>435</v>
      </c>
    </row>
    <row r="23" spans="1:6">
      <c r="A23" s="6" t="s">
        <v>28</v>
      </c>
      <c r="B23" s="6" t="s">
        <v>25</v>
      </c>
      <c r="C23" s="6" t="str">
        <f>VLOOKUP(B23,成本表!A:B,2,FALSE)</f>
        <v>雀巢蛋白补227</v>
      </c>
      <c r="D23" s="6">
        <v>2</v>
      </c>
      <c r="E23" s="7">
        <f>VLOOKUP(B23,成本表!A:C,3,FALSE)</f>
        <v>72.5</v>
      </c>
      <c r="F23" s="8">
        <f t="shared" si="0"/>
        <v>145</v>
      </c>
    </row>
    <row r="24" spans="1:6">
      <c r="A24" s="6" t="s">
        <v>29</v>
      </c>
      <c r="B24" s="6" t="s">
        <v>25</v>
      </c>
      <c r="C24" s="6" t="s">
        <v>30</v>
      </c>
      <c r="D24" s="6">
        <v>4</v>
      </c>
      <c r="E24" s="7">
        <v>72.5</v>
      </c>
      <c r="F24" s="8">
        <f t="shared" si="0"/>
        <v>290</v>
      </c>
    </row>
    <row r="25" spans="1:6">
      <c r="A25" s="6" t="s">
        <v>31</v>
      </c>
      <c r="B25" s="6" t="s">
        <v>32</v>
      </c>
      <c r="C25" s="6" t="s">
        <v>33</v>
      </c>
      <c r="D25" s="6">
        <v>6</v>
      </c>
      <c r="E25" s="7">
        <v>107</v>
      </c>
      <c r="F25" s="8">
        <f t="shared" si="0"/>
        <v>642</v>
      </c>
    </row>
    <row r="26" spans="1:6">
      <c r="A26" s="6" t="s">
        <v>34</v>
      </c>
      <c r="B26" s="6" t="s">
        <v>32</v>
      </c>
      <c r="C26" s="6" t="s">
        <v>33</v>
      </c>
      <c r="D26" s="6">
        <v>3</v>
      </c>
      <c r="E26" s="7">
        <v>107</v>
      </c>
      <c r="F26" s="8">
        <f t="shared" si="0"/>
        <v>321</v>
      </c>
    </row>
    <row r="27" spans="1:6">
      <c r="A27" s="6" t="s">
        <v>35</v>
      </c>
      <c r="B27" s="6" t="s">
        <v>35</v>
      </c>
      <c r="C27" s="6" t="s">
        <v>35</v>
      </c>
      <c r="D27" s="6">
        <v>1</v>
      </c>
      <c r="E27" s="7">
        <v>87</v>
      </c>
      <c r="F27" s="8">
        <f t="shared" si="0"/>
        <v>87</v>
      </c>
    </row>
    <row r="28" spans="1:6">
      <c r="A28" s="6" t="s">
        <v>36</v>
      </c>
      <c r="B28" s="6" t="s">
        <v>36</v>
      </c>
      <c r="C28" s="6" t="s">
        <v>36</v>
      </c>
      <c r="D28" s="6">
        <v>1</v>
      </c>
      <c r="E28" s="7">
        <v>130</v>
      </c>
      <c r="F28" s="8">
        <f t="shared" si="0"/>
        <v>130</v>
      </c>
    </row>
    <row r="29" spans="1:6">
      <c r="A29" s="6" t="s">
        <v>37</v>
      </c>
      <c r="B29" s="6" t="s">
        <v>37</v>
      </c>
      <c r="C29" s="6" t="s">
        <v>37</v>
      </c>
      <c r="D29" s="6">
        <v>1</v>
      </c>
      <c r="E29" s="7">
        <v>65</v>
      </c>
      <c r="F29" s="8">
        <f t="shared" si="0"/>
        <v>65</v>
      </c>
    </row>
    <row r="30" spans="1:6">
      <c r="A30" s="6" t="s">
        <v>38</v>
      </c>
      <c r="B30" s="6" t="s">
        <v>38</v>
      </c>
      <c r="C30" s="6" t="s">
        <v>38</v>
      </c>
      <c r="D30" s="6">
        <v>1</v>
      </c>
      <c r="E30" s="7">
        <v>87</v>
      </c>
      <c r="F30" s="8">
        <f t="shared" si="0"/>
        <v>87</v>
      </c>
    </row>
    <row r="31" spans="1:6">
      <c r="A31" s="6" t="s">
        <v>39</v>
      </c>
      <c r="B31" s="6" t="s">
        <v>39</v>
      </c>
      <c r="C31" s="6" t="s">
        <v>39</v>
      </c>
      <c r="D31" s="6">
        <v>1</v>
      </c>
      <c r="E31" s="7">
        <v>65</v>
      </c>
      <c r="F31" s="8">
        <f t="shared" si="0"/>
        <v>65</v>
      </c>
    </row>
    <row r="32" spans="1:6">
      <c r="A32" s="6" t="s">
        <v>40</v>
      </c>
      <c r="B32" s="6" t="s">
        <v>40</v>
      </c>
      <c r="C32" s="6" t="s">
        <v>40</v>
      </c>
      <c r="D32" s="6">
        <v>1</v>
      </c>
      <c r="E32" s="7">
        <v>76</v>
      </c>
      <c r="F32" s="8">
        <f t="shared" si="0"/>
        <v>76</v>
      </c>
    </row>
    <row r="33" spans="1:6">
      <c r="A33" s="6" t="s">
        <v>41</v>
      </c>
      <c r="B33" s="6" t="s">
        <v>41</v>
      </c>
      <c r="C33" s="6" t="s">
        <v>41</v>
      </c>
      <c r="D33" s="6">
        <v>1</v>
      </c>
      <c r="E33" s="7">
        <v>38</v>
      </c>
      <c r="F33" s="8">
        <f t="shared" si="0"/>
        <v>38</v>
      </c>
    </row>
    <row r="34" spans="1:6">
      <c r="A34" s="6" t="s">
        <v>42</v>
      </c>
      <c r="B34" s="6" t="s">
        <v>42</v>
      </c>
      <c r="C34" s="6" t="str">
        <f>VLOOKUP(B34,成本表!A:B,2,FALSE)</f>
        <v>摩可纳10号</v>
      </c>
      <c r="D34" s="6">
        <v>1</v>
      </c>
      <c r="E34" s="7">
        <v>107</v>
      </c>
      <c r="F34" s="8">
        <f t="shared" si="0"/>
        <v>107</v>
      </c>
    </row>
    <row r="35" spans="1:6">
      <c r="A35" s="12" t="s">
        <v>43</v>
      </c>
      <c r="B35" s="12" t="s">
        <v>43</v>
      </c>
      <c r="C35" s="6" t="str">
        <f>VLOOKUP(B35,成本表!A:B,2,FALSE)</f>
        <v>摩卡纳8号</v>
      </c>
      <c r="D35" s="6">
        <v>1</v>
      </c>
      <c r="E35" s="7">
        <v>107</v>
      </c>
      <c r="F35" s="8">
        <f t="shared" si="0"/>
        <v>107</v>
      </c>
    </row>
    <row r="36" spans="1:6">
      <c r="A36" s="6" t="s">
        <v>44</v>
      </c>
      <c r="B36" s="6" t="s">
        <v>44</v>
      </c>
      <c r="C36" s="6" t="str">
        <f>VLOOKUP(B36,成本表!A:B,2,FALSE)</f>
        <v>和丽康海藻钙</v>
      </c>
      <c r="D36" s="6">
        <v>1</v>
      </c>
      <c r="E36" s="7">
        <f>VLOOKUP(B36,成本表!A:C,3,FALSE)</f>
        <v>76</v>
      </c>
      <c r="F36" s="8">
        <f t="shared" si="0"/>
        <v>76</v>
      </c>
    </row>
    <row r="37" spans="1:6">
      <c r="A37" s="6" t="s">
        <v>45</v>
      </c>
      <c r="B37" s="6" t="s">
        <v>44</v>
      </c>
      <c r="C37" s="6" t="str">
        <f>VLOOKUP(B37,成本表!A:B,2,FALSE)</f>
        <v>和丽康海藻钙</v>
      </c>
      <c r="D37" s="6">
        <v>3</v>
      </c>
      <c r="E37" s="7">
        <f>VLOOKUP(B37,成本表!A:C,3,FALSE)</f>
        <v>76</v>
      </c>
      <c r="F37" s="8">
        <f t="shared" si="0"/>
        <v>228</v>
      </c>
    </row>
    <row r="38" spans="1:6">
      <c r="A38" s="6" t="s">
        <v>46</v>
      </c>
      <c r="B38" s="6" t="s">
        <v>46</v>
      </c>
      <c r="C38" s="6" t="s">
        <v>46</v>
      </c>
      <c r="D38" s="6">
        <v>1</v>
      </c>
      <c r="E38" s="7">
        <v>100</v>
      </c>
      <c r="F38" s="8">
        <f t="shared" si="0"/>
        <v>100</v>
      </c>
    </row>
    <row r="39" spans="1:6">
      <c r="A39" s="6" t="s">
        <v>47</v>
      </c>
      <c r="B39" s="6" t="s">
        <v>47</v>
      </c>
      <c r="C39" s="6" t="s">
        <v>47</v>
      </c>
      <c r="D39" s="6">
        <v>1</v>
      </c>
      <c r="E39" s="7">
        <v>50</v>
      </c>
      <c r="F39" s="8">
        <f t="shared" si="0"/>
        <v>50</v>
      </c>
    </row>
    <row r="40" spans="1:6">
      <c r="A40" s="6" t="s">
        <v>48</v>
      </c>
      <c r="B40" s="6" t="s">
        <v>48</v>
      </c>
      <c r="C40" s="6" t="s">
        <v>48</v>
      </c>
      <c r="D40" s="6">
        <v>1</v>
      </c>
      <c r="E40" s="7">
        <v>38</v>
      </c>
      <c r="F40" s="8">
        <f t="shared" si="0"/>
        <v>38</v>
      </c>
    </row>
    <row r="41" spans="1:6">
      <c r="A41" s="6" t="s">
        <v>49</v>
      </c>
      <c r="B41" s="6" t="s">
        <v>49</v>
      </c>
      <c r="C41" s="6" t="str">
        <f>VLOOKUP(B41,成本表!A:B,2,FALSE)</f>
        <v>安怡长青1700G</v>
      </c>
      <c r="D41" s="6">
        <v>1</v>
      </c>
      <c r="E41" s="7">
        <f>VLOOKUP(B41,成本表!A:C,3,FALSE)</f>
        <v>70</v>
      </c>
      <c r="F41" s="8">
        <f t="shared" si="0"/>
        <v>70</v>
      </c>
    </row>
    <row r="42" spans="1:6">
      <c r="A42" s="6" t="s">
        <v>50</v>
      </c>
      <c r="B42" s="6" t="s">
        <v>50</v>
      </c>
      <c r="C42" s="6" t="s">
        <v>51</v>
      </c>
      <c r="D42" s="6">
        <v>1</v>
      </c>
      <c r="E42" s="7">
        <v>110</v>
      </c>
      <c r="F42" s="8">
        <f t="shared" si="0"/>
        <v>110</v>
      </c>
    </row>
    <row r="43" spans="1:6">
      <c r="A43" s="6" t="s">
        <v>52</v>
      </c>
      <c r="B43" s="6" t="s">
        <v>50</v>
      </c>
      <c r="C43" s="6" t="s">
        <v>53</v>
      </c>
      <c r="D43" s="6">
        <v>2</v>
      </c>
      <c r="E43" s="7">
        <v>110</v>
      </c>
      <c r="F43" s="8">
        <f t="shared" si="0"/>
        <v>220</v>
      </c>
    </row>
    <row r="44" spans="1:6">
      <c r="A44" s="6" t="s">
        <v>54</v>
      </c>
      <c r="B44" s="6" t="s">
        <v>50</v>
      </c>
      <c r="C44" s="6" t="s">
        <v>55</v>
      </c>
      <c r="D44" s="6">
        <v>3</v>
      </c>
      <c r="E44" s="7">
        <v>110</v>
      </c>
      <c r="F44" s="8">
        <f t="shared" si="0"/>
        <v>330</v>
      </c>
    </row>
    <row r="45" spans="1:6">
      <c r="A45" s="6" t="s">
        <v>56</v>
      </c>
      <c r="B45" s="6" t="s">
        <v>50</v>
      </c>
      <c r="C45" s="6" t="s">
        <v>57</v>
      </c>
      <c r="D45" s="6">
        <v>6</v>
      </c>
      <c r="E45" s="7">
        <v>110</v>
      </c>
      <c r="F45" s="8">
        <f t="shared" si="0"/>
        <v>660</v>
      </c>
    </row>
    <row r="46" spans="1:6">
      <c r="A46" s="6" t="s">
        <v>58</v>
      </c>
      <c r="B46" s="6" t="s">
        <v>13</v>
      </c>
      <c r="C46" s="6" t="str">
        <f>VLOOKUP(B46,成本表!A:B,2,FALSE)</f>
        <v>雅培金装900G</v>
      </c>
      <c r="D46" s="6">
        <v>6</v>
      </c>
      <c r="E46" s="7">
        <v>180</v>
      </c>
      <c r="F46" s="8">
        <f t="shared" si="0"/>
        <v>1080</v>
      </c>
    </row>
    <row r="47" spans="1:6">
      <c r="A47" s="6" t="s">
        <v>59</v>
      </c>
      <c r="B47" s="6" t="s">
        <v>59</v>
      </c>
      <c r="C47" s="6" t="s">
        <v>60</v>
      </c>
      <c r="D47" s="6">
        <v>1</v>
      </c>
      <c r="E47" s="7">
        <v>180</v>
      </c>
      <c r="F47" s="8">
        <f t="shared" si="0"/>
        <v>180</v>
      </c>
    </row>
    <row r="48" spans="1:6">
      <c r="A48" s="13" t="s">
        <v>61</v>
      </c>
      <c r="B48" s="6" t="s">
        <v>13</v>
      </c>
      <c r="C48" s="6" t="s">
        <v>62</v>
      </c>
      <c r="D48" s="6">
        <v>4</v>
      </c>
      <c r="E48" s="7">
        <v>180</v>
      </c>
      <c r="F48" s="8">
        <f t="shared" si="0"/>
        <v>720</v>
      </c>
    </row>
    <row r="49" spans="1:6">
      <c r="A49" s="6" t="s">
        <v>63</v>
      </c>
      <c r="B49" s="6" t="s">
        <v>24</v>
      </c>
      <c r="C49" s="6" t="s">
        <v>64</v>
      </c>
      <c r="D49" s="6">
        <v>2</v>
      </c>
      <c r="E49" s="7">
        <v>187</v>
      </c>
      <c r="F49" s="8">
        <f t="shared" si="0"/>
        <v>374</v>
      </c>
    </row>
    <row r="50" spans="1:6">
      <c r="A50" s="6" t="s">
        <v>65</v>
      </c>
      <c r="B50" s="6" t="s">
        <v>10</v>
      </c>
      <c r="C50" s="6" t="s">
        <v>66</v>
      </c>
      <c r="D50" s="6">
        <v>4</v>
      </c>
      <c r="E50" s="7">
        <v>187</v>
      </c>
      <c r="F50" s="8">
        <f t="shared" si="0"/>
        <v>748</v>
      </c>
    </row>
    <row r="51" spans="1:6">
      <c r="A51" s="6" t="s">
        <v>67</v>
      </c>
      <c r="B51" s="6" t="s">
        <v>67</v>
      </c>
      <c r="C51" s="6" t="s">
        <v>68</v>
      </c>
      <c r="D51" s="6">
        <v>1</v>
      </c>
      <c r="E51" s="7">
        <v>153</v>
      </c>
      <c r="F51" s="8">
        <f t="shared" si="0"/>
        <v>153</v>
      </c>
    </row>
    <row r="52" spans="1:6">
      <c r="A52" s="6" t="s">
        <v>69</v>
      </c>
      <c r="B52" s="6" t="s">
        <v>67</v>
      </c>
      <c r="C52" s="6" t="s">
        <v>70</v>
      </c>
      <c r="D52" s="6">
        <v>2</v>
      </c>
      <c r="E52" s="7">
        <v>153</v>
      </c>
      <c r="F52" s="8">
        <f t="shared" si="0"/>
        <v>306</v>
      </c>
    </row>
    <row r="53" spans="1:6">
      <c r="A53" s="6" t="s">
        <v>71</v>
      </c>
      <c r="B53" s="6" t="s">
        <v>71</v>
      </c>
      <c r="C53" s="6" t="s">
        <v>72</v>
      </c>
      <c r="D53" s="6">
        <v>1</v>
      </c>
      <c r="E53" s="7">
        <v>153</v>
      </c>
      <c r="F53" s="8">
        <f t="shared" si="0"/>
        <v>153</v>
      </c>
    </row>
    <row r="54" spans="1:6">
      <c r="A54" s="6" t="s">
        <v>32</v>
      </c>
      <c r="B54" s="6" t="s">
        <v>32</v>
      </c>
      <c r="C54" s="6" t="s">
        <v>33</v>
      </c>
      <c r="D54" s="6">
        <v>1</v>
      </c>
      <c r="E54" s="7">
        <v>100.5</v>
      </c>
      <c r="F54" s="8">
        <f t="shared" si="0"/>
        <v>100.5</v>
      </c>
    </row>
    <row r="55" spans="1:6">
      <c r="A55" s="6" t="s">
        <v>73</v>
      </c>
      <c r="B55" s="6" t="s">
        <v>17</v>
      </c>
      <c r="C55" s="6" t="s">
        <v>74</v>
      </c>
      <c r="D55" s="6">
        <v>3</v>
      </c>
      <c r="E55" s="7">
        <f>VLOOKUP(B55,成本表!A:C,3,FALSE)</f>
        <v>175</v>
      </c>
      <c r="F55" s="8">
        <f t="shared" si="0"/>
        <v>525</v>
      </c>
    </row>
    <row r="56" spans="1:6">
      <c r="A56" s="6" t="s">
        <v>75</v>
      </c>
      <c r="B56" s="6" t="s">
        <v>75</v>
      </c>
      <c r="C56" s="6" t="s">
        <v>76</v>
      </c>
      <c r="D56" s="6">
        <v>1</v>
      </c>
      <c r="E56" s="7">
        <v>257.31</v>
      </c>
      <c r="F56" s="8">
        <f t="shared" si="0"/>
        <v>257.31</v>
      </c>
    </row>
    <row r="57" spans="1:6">
      <c r="A57" s="6" t="s">
        <v>77</v>
      </c>
      <c r="B57" s="6" t="s">
        <v>77</v>
      </c>
      <c r="C57" s="6" t="s">
        <v>78</v>
      </c>
      <c r="D57" s="6">
        <v>2</v>
      </c>
      <c r="E57" s="7">
        <v>257.31</v>
      </c>
      <c r="F57" s="8">
        <f t="shared" si="0"/>
        <v>514.62</v>
      </c>
    </row>
    <row r="58" spans="1:6">
      <c r="A58" s="6" t="s">
        <v>79</v>
      </c>
      <c r="B58" s="6" t="s">
        <v>79</v>
      </c>
      <c r="C58" s="6" t="s">
        <v>80</v>
      </c>
      <c r="D58" s="6">
        <v>3</v>
      </c>
      <c r="E58" s="7">
        <v>257.31</v>
      </c>
      <c r="F58" s="8">
        <f t="shared" si="0"/>
        <v>771.93</v>
      </c>
    </row>
    <row r="59" spans="1:6">
      <c r="A59" s="6" t="s">
        <v>81</v>
      </c>
      <c r="B59" s="6" t="s">
        <v>81</v>
      </c>
      <c r="C59" s="6" t="s">
        <v>82</v>
      </c>
      <c r="D59" s="6">
        <v>4</v>
      </c>
      <c r="E59" s="7">
        <v>257.31</v>
      </c>
      <c r="F59" s="8">
        <f t="shared" si="0"/>
        <v>1029.24</v>
      </c>
    </row>
    <row r="60" spans="1:6">
      <c r="A60" s="6" t="s">
        <v>83</v>
      </c>
      <c r="B60" s="6" t="s">
        <v>83</v>
      </c>
      <c r="C60" s="6" t="s">
        <v>84</v>
      </c>
      <c r="D60" s="6">
        <v>5</v>
      </c>
      <c r="E60" s="7">
        <v>257.31</v>
      </c>
      <c r="F60" s="8">
        <f t="shared" si="0"/>
        <v>1286.55</v>
      </c>
    </row>
    <row r="61" spans="1:6">
      <c r="A61" s="6" t="s">
        <v>85</v>
      </c>
      <c r="B61" s="6" t="s">
        <v>85</v>
      </c>
      <c r="C61" s="6" t="s">
        <v>86</v>
      </c>
      <c r="D61" s="6">
        <v>6</v>
      </c>
      <c r="E61" s="7">
        <v>257.31</v>
      </c>
      <c r="F61" s="8">
        <f t="shared" si="0"/>
        <v>1543.86</v>
      </c>
    </row>
    <row r="62" spans="1:6">
      <c r="A62" s="6" t="s">
        <v>87</v>
      </c>
      <c r="B62" s="6" t="s">
        <v>87</v>
      </c>
      <c r="C62" s="6" t="s">
        <v>88</v>
      </c>
      <c r="D62" s="6">
        <v>1</v>
      </c>
      <c r="E62" s="7">
        <v>230.51</v>
      </c>
      <c r="F62" s="8">
        <f t="shared" si="0"/>
        <v>230.51</v>
      </c>
    </row>
    <row r="63" spans="1:6">
      <c r="A63" s="6" t="s">
        <v>89</v>
      </c>
      <c r="B63" s="6" t="s">
        <v>89</v>
      </c>
      <c r="C63" s="6" t="s">
        <v>90</v>
      </c>
      <c r="D63" s="6">
        <v>2</v>
      </c>
      <c r="E63" s="7">
        <v>230.51</v>
      </c>
      <c r="F63" s="8">
        <f t="shared" si="0"/>
        <v>461.02</v>
      </c>
    </row>
    <row r="64" spans="1:6">
      <c r="A64" s="6" t="s">
        <v>91</v>
      </c>
      <c r="B64" s="6" t="s">
        <v>91</v>
      </c>
      <c r="C64" s="6" t="s">
        <v>92</v>
      </c>
      <c r="D64" s="6">
        <v>3</v>
      </c>
      <c r="E64" s="7">
        <v>230.51</v>
      </c>
      <c r="F64" s="8">
        <f t="shared" si="0"/>
        <v>691.53</v>
      </c>
    </row>
    <row r="65" spans="1:6">
      <c r="A65" s="6" t="s">
        <v>93</v>
      </c>
      <c r="B65" s="6" t="s">
        <v>93</v>
      </c>
      <c r="C65" s="6" t="s">
        <v>94</v>
      </c>
      <c r="D65" s="6">
        <v>4</v>
      </c>
      <c r="E65" s="7">
        <v>230.51</v>
      </c>
      <c r="F65" s="8">
        <f t="shared" si="0"/>
        <v>922.04</v>
      </c>
    </row>
    <row r="66" spans="1:6">
      <c r="A66" s="6" t="s">
        <v>95</v>
      </c>
      <c r="B66" s="6" t="s">
        <v>95</v>
      </c>
      <c r="C66" s="6" t="s">
        <v>96</v>
      </c>
      <c r="D66" s="6">
        <v>5</v>
      </c>
      <c r="E66" s="7">
        <v>230.51</v>
      </c>
      <c r="F66" s="8">
        <f t="shared" ref="F66:F129" si="1">E66*D66</f>
        <v>1152.55</v>
      </c>
    </row>
    <row r="67" spans="1:6">
      <c r="A67" s="6" t="s">
        <v>97</v>
      </c>
      <c r="B67" s="6" t="s">
        <v>97</v>
      </c>
      <c r="C67" s="6" t="s">
        <v>98</v>
      </c>
      <c r="D67" s="6">
        <v>6</v>
      </c>
      <c r="E67" s="7">
        <v>230.51</v>
      </c>
      <c r="F67" s="8">
        <f t="shared" si="1"/>
        <v>1383.06</v>
      </c>
    </row>
    <row r="68" spans="1:6">
      <c r="A68" s="6" t="s">
        <v>99</v>
      </c>
      <c r="B68" s="6" t="s">
        <v>99</v>
      </c>
      <c r="C68" s="6" t="s">
        <v>100</v>
      </c>
      <c r="D68" s="6">
        <v>1</v>
      </c>
      <c r="E68" s="7">
        <v>210.64</v>
      </c>
      <c r="F68" s="8">
        <f t="shared" si="1"/>
        <v>210.64</v>
      </c>
    </row>
    <row r="69" spans="1:6">
      <c r="A69" s="6" t="s">
        <v>101</v>
      </c>
      <c r="B69" s="6" t="s">
        <v>101</v>
      </c>
      <c r="C69" s="6" t="s">
        <v>102</v>
      </c>
      <c r="D69" s="6">
        <v>2</v>
      </c>
      <c r="E69" s="7">
        <v>210.64</v>
      </c>
      <c r="F69" s="8">
        <f t="shared" si="1"/>
        <v>421.28</v>
      </c>
    </row>
    <row r="70" spans="1:6">
      <c r="A70" s="6" t="s">
        <v>103</v>
      </c>
      <c r="B70" s="6" t="s">
        <v>103</v>
      </c>
      <c r="C70" s="6" t="s">
        <v>104</v>
      </c>
      <c r="D70" s="6">
        <v>3</v>
      </c>
      <c r="E70" s="7">
        <v>210.64</v>
      </c>
      <c r="F70" s="8">
        <f t="shared" si="1"/>
        <v>631.92</v>
      </c>
    </row>
    <row r="71" spans="1:6">
      <c r="A71" s="6" t="s">
        <v>105</v>
      </c>
      <c r="B71" s="6" t="s">
        <v>105</v>
      </c>
      <c r="C71" s="6" t="s">
        <v>106</v>
      </c>
      <c r="D71" s="6">
        <v>4</v>
      </c>
      <c r="E71" s="7">
        <v>210.64</v>
      </c>
      <c r="F71" s="8">
        <f t="shared" si="1"/>
        <v>842.56</v>
      </c>
    </row>
    <row r="72" spans="1:6">
      <c r="A72" s="6" t="s">
        <v>107</v>
      </c>
      <c r="B72" s="6" t="s">
        <v>107</v>
      </c>
      <c r="C72" s="6" t="s">
        <v>108</v>
      </c>
      <c r="D72" s="6">
        <v>5</v>
      </c>
      <c r="E72" s="7">
        <v>210.64</v>
      </c>
      <c r="F72" s="8">
        <f t="shared" si="1"/>
        <v>1053.2</v>
      </c>
    </row>
    <row r="73" spans="1:6">
      <c r="A73" s="6" t="s">
        <v>109</v>
      </c>
      <c r="B73" s="6" t="s">
        <v>109</v>
      </c>
      <c r="C73" s="6" t="s">
        <v>110</v>
      </c>
      <c r="D73" s="6">
        <v>6</v>
      </c>
      <c r="E73" s="7">
        <v>210.64</v>
      </c>
      <c r="F73" s="8">
        <f t="shared" si="1"/>
        <v>1263.84</v>
      </c>
    </row>
    <row r="74" spans="1:6">
      <c r="A74" s="6" t="s">
        <v>111</v>
      </c>
      <c r="B74" s="6" t="s">
        <v>111</v>
      </c>
      <c r="C74" s="6" t="s">
        <v>112</v>
      </c>
      <c r="D74" s="6">
        <v>1</v>
      </c>
      <c r="E74" s="7">
        <v>194.75</v>
      </c>
      <c r="F74" s="8">
        <f t="shared" si="1"/>
        <v>194.75</v>
      </c>
    </row>
    <row r="75" spans="1:6">
      <c r="A75" s="6" t="s">
        <v>113</v>
      </c>
      <c r="B75" s="6" t="s">
        <v>113</v>
      </c>
      <c r="C75" s="6" t="s">
        <v>114</v>
      </c>
      <c r="D75" s="6">
        <v>2</v>
      </c>
      <c r="E75" s="7">
        <v>194.75</v>
      </c>
      <c r="F75" s="8">
        <f t="shared" si="1"/>
        <v>389.5</v>
      </c>
    </row>
    <row r="76" spans="1:6">
      <c r="A76" s="6" t="s">
        <v>115</v>
      </c>
      <c r="B76" s="6" t="s">
        <v>115</v>
      </c>
      <c r="C76" s="6" t="s">
        <v>116</v>
      </c>
      <c r="D76" s="6">
        <v>3</v>
      </c>
      <c r="E76" s="7">
        <v>194.75</v>
      </c>
      <c r="F76" s="8">
        <f t="shared" si="1"/>
        <v>584.25</v>
      </c>
    </row>
    <row r="77" spans="1:6">
      <c r="A77" s="6" t="s">
        <v>117</v>
      </c>
      <c r="B77" s="6" t="s">
        <v>117</v>
      </c>
      <c r="C77" s="6" t="s">
        <v>118</v>
      </c>
      <c r="D77" s="6">
        <v>4</v>
      </c>
      <c r="E77" s="7">
        <v>194.75</v>
      </c>
      <c r="F77" s="8">
        <f t="shared" si="1"/>
        <v>779</v>
      </c>
    </row>
    <row r="78" spans="1:6">
      <c r="A78" s="6" t="s">
        <v>119</v>
      </c>
      <c r="B78" s="6" t="s">
        <v>119</v>
      </c>
      <c r="C78" s="6" t="s">
        <v>120</v>
      </c>
      <c r="D78" s="6">
        <v>5</v>
      </c>
      <c r="E78" s="7">
        <v>194.75</v>
      </c>
      <c r="F78" s="8">
        <f t="shared" si="1"/>
        <v>973.75</v>
      </c>
    </row>
    <row r="79" spans="1:6">
      <c r="A79" s="6" t="s">
        <v>121</v>
      </c>
      <c r="B79" s="6" t="s">
        <v>121</v>
      </c>
      <c r="C79" s="6" t="s">
        <v>122</v>
      </c>
      <c r="D79" s="6">
        <v>6</v>
      </c>
      <c r="E79" s="7">
        <v>194.75</v>
      </c>
      <c r="F79" s="8">
        <f t="shared" si="1"/>
        <v>1168.5</v>
      </c>
    </row>
    <row r="80" spans="1:6">
      <c r="A80" s="6" t="s">
        <v>123</v>
      </c>
      <c r="B80" s="6" t="s">
        <v>123</v>
      </c>
      <c r="C80" s="6" t="s">
        <v>124</v>
      </c>
      <c r="D80" s="6">
        <v>1</v>
      </c>
      <c r="E80" s="7">
        <v>245.65</v>
      </c>
      <c r="F80" s="8">
        <f t="shared" si="1"/>
        <v>245.65</v>
      </c>
    </row>
    <row r="81" spans="1:6">
      <c r="A81" s="6" t="s">
        <v>125</v>
      </c>
      <c r="B81" s="6" t="s">
        <v>125</v>
      </c>
      <c r="C81" s="6" t="s">
        <v>126</v>
      </c>
      <c r="D81" s="6">
        <v>2</v>
      </c>
      <c r="E81" s="7">
        <v>245.65</v>
      </c>
      <c r="F81" s="8">
        <f t="shared" si="1"/>
        <v>491.3</v>
      </c>
    </row>
    <row r="82" spans="1:6">
      <c r="A82" s="6" t="s">
        <v>127</v>
      </c>
      <c r="B82" s="6" t="s">
        <v>127</v>
      </c>
      <c r="C82" s="6" t="s">
        <v>128</v>
      </c>
      <c r="D82" s="6">
        <v>3</v>
      </c>
      <c r="E82" s="7">
        <v>245.65</v>
      </c>
      <c r="F82" s="8">
        <f t="shared" si="1"/>
        <v>736.95</v>
      </c>
    </row>
    <row r="83" spans="1:6">
      <c r="A83" s="6" t="s">
        <v>129</v>
      </c>
      <c r="B83" s="6" t="s">
        <v>129</v>
      </c>
      <c r="C83" s="6" t="s">
        <v>130</v>
      </c>
      <c r="D83" s="6">
        <v>4</v>
      </c>
      <c r="E83" s="7">
        <v>245.65</v>
      </c>
      <c r="F83" s="8">
        <f t="shared" si="1"/>
        <v>982.6</v>
      </c>
    </row>
    <row r="84" spans="1:6">
      <c r="A84" s="6" t="s">
        <v>131</v>
      </c>
      <c r="B84" s="6" t="s">
        <v>131</v>
      </c>
      <c r="C84" s="6" t="s">
        <v>132</v>
      </c>
      <c r="D84" s="6">
        <v>5</v>
      </c>
      <c r="E84" s="7">
        <v>245.65</v>
      </c>
      <c r="F84" s="8">
        <f t="shared" si="1"/>
        <v>1228.25</v>
      </c>
    </row>
    <row r="85" spans="1:6">
      <c r="A85" s="6" t="s">
        <v>133</v>
      </c>
      <c r="B85" s="6" t="s">
        <v>133</v>
      </c>
      <c r="C85" s="6" t="s">
        <v>134</v>
      </c>
      <c r="D85" s="6">
        <v>6</v>
      </c>
      <c r="E85" s="7">
        <v>245.65</v>
      </c>
      <c r="F85" s="8">
        <f t="shared" si="1"/>
        <v>1473.9</v>
      </c>
    </row>
    <row r="86" spans="1:6">
      <c r="A86" s="6" t="s">
        <v>135</v>
      </c>
      <c r="B86" s="6" t="s">
        <v>135</v>
      </c>
      <c r="C86" s="6" t="s">
        <v>136</v>
      </c>
      <c r="D86" s="6">
        <v>1</v>
      </c>
      <c r="E86" s="7">
        <v>218.82</v>
      </c>
      <c r="F86" s="8">
        <f t="shared" si="1"/>
        <v>218.82</v>
      </c>
    </row>
    <row r="87" spans="1:6">
      <c r="A87" s="6" t="s">
        <v>137</v>
      </c>
      <c r="B87" s="6" t="s">
        <v>137</v>
      </c>
      <c r="C87" s="6" t="s">
        <v>138</v>
      </c>
      <c r="D87" s="6">
        <v>2</v>
      </c>
      <c r="E87" s="7">
        <v>218.82</v>
      </c>
      <c r="F87" s="8">
        <f t="shared" si="1"/>
        <v>437.64</v>
      </c>
    </row>
    <row r="88" spans="1:6">
      <c r="A88" s="6" t="s">
        <v>139</v>
      </c>
      <c r="B88" s="6" t="s">
        <v>139</v>
      </c>
      <c r="C88" s="6" t="s">
        <v>140</v>
      </c>
      <c r="D88" s="6">
        <v>3</v>
      </c>
      <c r="E88" s="7">
        <v>218.82</v>
      </c>
      <c r="F88" s="8">
        <f t="shared" si="1"/>
        <v>656.46</v>
      </c>
    </row>
    <row r="89" spans="1:6">
      <c r="A89" s="6" t="s">
        <v>141</v>
      </c>
      <c r="B89" s="6" t="s">
        <v>141</v>
      </c>
      <c r="C89" s="6" t="s">
        <v>142</v>
      </c>
      <c r="D89" s="6">
        <v>4</v>
      </c>
      <c r="E89" s="7">
        <v>218.82</v>
      </c>
      <c r="F89" s="8">
        <f t="shared" si="1"/>
        <v>875.28</v>
      </c>
    </row>
    <row r="90" spans="1:6">
      <c r="A90" s="6" t="s">
        <v>143</v>
      </c>
      <c r="B90" s="6" t="s">
        <v>143</v>
      </c>
      <c r="C90" s="6" t="s">
        <v>144</v>
      </c>
      <c r="D90" s="6">
        <v>5</v>
      </c>
      <c r="E90" s="7">
        <v>218.82</v>
      </c>
      <c r="F90" s="8">
        <f t="shared" si="1"/>
        <v>1094.1</v>
      </c>
    </row>
    <row r="91" spans="1:6">
      <c r="A91" s="6" t="s">
        <v>145</v>
      </c>
      <c r="B91" s="6" t="s">
        <v>145</v>
      </c>
      <c r="C91" s="6" t="s">
        <v>146</v>
      </c>
      <c r="D91" s="6">
        <v>6</v>
      </c>
      <c r="E91" s="7">
        <v>218.82</v>
      </c>
      <c r="F91" s="8">
        <f t="shared" si="1"/>
        <v>1312.92</v>
      </c>
    </row>
    <row r="92" spans="1:6">
      <c r="A92" s="6" t="s">
        <v>147</v>
      </c>
      <c r="B92" s="6" t="s">
        <v>147</v>
      </c>
      <c r="C92" s="6" t="s">
        <v>148</v>
      </c>
      <c r="D92" s="6">
        <v>1</v>
      </c>
      <c r="E92" s="7">
        <v>202.69</v>
      </c>
      <c r="F92" s="8">
        <f t="shared" si="1"/>
        <v>202.69</v>
      </c>
    </row>
    <row r="93" spans="1:6">
      <c r="A93" s="6" t="s">
        <v>149</v>
      </c>
      <c r="B93" s="6" t="s">
        <v>149</v>
      </c>
      <c r="C93" s="6" t="s">
        <v>150</v>
      </c>
      <c r="D93" s="6">
        <v>2</v>
      </c>
      <c r="E93" s="7">
        <v>202.69</v>
      </c>
      <c r="F93" s="8">
        <f t="shared" si="1"/>
        <v>405.38</v>
      </c>
    </row>
    <row r="94" spans="1:6">
      <c r="A94" s="6" t="s">
        <v>151</v>
      </c>
      <c r="B94" s="6" t="s">
        <v>151</v>
      </c>
      <c r="C94" s="6" t="s">
        <v>152</v>
      </c>
      <c r="D94" s="6">
        <v>3</v>
      </c>
      <c r="E94" s="7">
        <v>202.69</v>
      </c>
      <c r="F94" s="8">
        <f t="shared" si="1"/>
        <v>608.07</v>
      </c>
    </row>
    <row r="95" spans="1:6">
      <c r="A95" s="6" t="s">
        <v>153</v>
      </c>
      <c r="B95" s="6" t="s">
        <v>153</v>
      </c>
      <c r="C95" s="6" t="s">
        <v>154</v>
      </c>
      <c r="D95" s="6">
        <v>4</v>
      </c>
      <c r="E95" s="7">
        <v>202.69</v>
      </c>
      <c r="F95" s="8">
        <f t="shared" si="1"/>
        <v>810.76</v>
      </c>
    </row>
    <row r="96" spans="1:6">
      <c r="A96" s="6" t="s">
        <v>155</v>
      </c>
      <c r="B96" s="6" t="s">
        <v>155</v>
      </c>
      <c r="C96" s="6" t="s">
        <v>156</v>
      </c>
      <c r="D96" s="6">
        <v>5</v>
      </c>
      <c r="E96" s="7">
        <v>202.69</v>
      </c>
      <c r="F96" s="8">
        <f t="shared" si="1"/>
        <v>1013.45</v>
      </c>
    </row>
    <row r="97" spans="1:6">
      <c r="A97" s="6" t="s">
        <v>157</v>
      </c>
      <c r="B97" s="6" t="s">
        <v>157</v>
      </c>
      <c r="C97" s="6" t="s">
        <v>158</v>
      </c>
      <c r="D97" s="6">
        <v>6</v>
      </c>
      <c r="E97" s="7">
        <v>202.69</v>
      </c>
      <c r="F97" s="8">
        <f t="shared" si="1"/>
        <v>1216.14</v>
      </c>
    </row>
    <row r="98" spans="1:6">
      <c r="A98" s="6" t="s">
        <v>159</v>
      </c>
      <c r="B98" s="6" t="s">
        <v>159</v>
      </c>
      <c r="C98" s="6" t="s">
        <v>160</v>
      </c>
      <c r="D98" s="6">
        <v>1</v>
      </c>
      <c r="E98" s="7">
        <v>168.99</v>
      </c>
      <c r="F98" s="8">
        <f t="shared" si="1"/>
        <v>168.99</v>
      </c>
    </row>
    <row r="99" spans="1:6">
      <c r="A99" s="6" t="s">
        <v>161</v>
      </c>
      <c r="B99" s="6" t="s">
        <v>161</v>
      </c>
      <c r="C99" s="6" t="s">
        <v>162</v>
      </c>
      <c r="D99" s="6">
        <v>2</v>
      </c>
      <c r="E99" s="7">
        <v>168.99</v>
      </c>
      <c r="F99" s="8">
        <f t="shared" si="1"/>
        <v>337.98</v>
      </c>
    </row>
    <row r="100" spans="1:6">
      <c r="A100" s="6" t="s">
        <v>163</v>
      </c>
      <c r="B100" s="6" t="s">
        <v>163</v>
      </c>
      <c r="C100" s="6" t="s">
        <v>164</v>
      </c>
      <c r="D100" s="6">
        <v>3</v>
      </c>
      <c r="E100" s="7">
        <v>168.99</v>
      </c>
      <c r="F100" s="8">
        <f t="shared" si="1"/>
        <v>506.97</v>
      </c>
    </row>
    <row r="101" spans="1:6">
      <c r="A101" s="6" t="s">
        <v>165</v>
      </c>
      <c r="B101" s="6" t="s">
        <v>165</v>
      </c>
      <c r="C101" s="6" t="s">
        <v>166</v>
      </c>
      <c r="D101" s="6">
        <v>4</v>
      </c>
      <c r="E101" s="7">
        <v>168.99</v>
      </c>
      <c r="F101" s="8">
        <f t="shared" si="1"/>
        <v>675.96</v>
      </c>
    </row>
    <row r="102" spans="1:6">
      <c r="A102" s="6" t="s">
        <v>167</v>
      </c>
      <c r="B102" s="6" t="s">
        <v>167</v>
      </c>
      <c r="C102" s="6" t="s">
        <v>168</v>
      </c>
      <c r="D102" s="6">
        <v>5</v>
      </c>
      <c r="E102" s="7">
        <v>168.99</v>
      </c>
      <c r="F102" s="8">
        <f t="shared" si="1"/>
        <v>844.95</v>
      </c>
    </row>
    <row r="103" spans="1:6">
      <c r="A103" s="6" t="s">
        <v>169</v>
      </c>
      <c r="B103" s="6" t="s">
        <v>169</v>
      </c>
      <c r="C103" s="6" t="s">
        <v>170</v>
      </c>
      <c r="D103" s="6">
        <v>6</v>
      </c>
      <c r="E103" s="7">
        <v>168.99</v>
      </c>
      <c r="F103" s="8">
        <f t="shared" si="1"/>
        <v>1013.94</v>
      </c>
    </row>
    <row r="104" spans="1:6">
      <c r="A104" s="6" t="s">
        <v>171</v>
      </c>
      <c r="B104" s="6" t="s">
        <v>171</v>
      </c>
      <c r="C104" s="6" t="s">
        <v>172</v>
      </c>
      <c r="D104" s="6">
        <v>1</v>
      </c>
      <c r="E104" s="7">
        <v>150.11</v>
      </c>
      <c r="F104" s="8">
        <f t="shared" si="1"/>
        <v>150.11</v>
      </c>
    </row>
    <row r="105" spans="1:6">
      <c r="A105" s="6" t="s">
        <v>173</v>
      </c>
      <c r="B105" s="6" t="s">
        <v>173</v>
      </c>
      <c r="C105" s="6" t="s">
        <v>174</v>
      </c>
      <c r="D105" s="6">
        <v>2</v>
      </c>
      <c r="E105" s="7">
        <v>150.11</v>
      </c>
      <c r="F105" s="8">
        <f t="shared" si="1"/>
        <v>300.22</v>
      </c>
    </row>
    <row r="106" spans="1:6">
      <c r="A106" s="6" t="s">
        <v>175</v>
      </c>
      <c r="B106" s="6" t="s">
        <v>175</v>
      </c>
      <c r="C106" s="6" t="s">
        <v>176</v>
      </c>
      <c r="D106" s="6">
        <v>3</v>
      </c>
      <c r="E106" s="7">
        <v>150.11</v>
      </c>
      <c r="F106" s="8">
        <f t="shared" si="1"/>
        <v>450.33</v>
      </c>
    </row>
    <row r="107" spans="1:6">
      <c r="A107" s="6" t="s">
        <v>177</v>
      </c>
      <c r="B107" s="6" t="s">
        <v>177</v>
      </c>
      <c r="C107" s="6" t="s">
        <v>178</v>
      </c>
      <c r="D107" s="6">
        <v>4</v>
      </c>
      <c r="E107" s="7">
        <v>150.11</v>
      </c>
      <c r="F107" s="8">
        <f t="shared" si="1"/>
        <v>600.44</v>
      </c>
    </row>
    <row r="108" spans="1:6">
      <c r="A108" s="6" t="s">
        <v>179</v>
      </c>
      <c r="B108" s="6" t="s">
        <v>179</v>
      </c>
      <c r="C108" s="6" t="s">
        <v>180</v>
      </c>
      <c r="D108" s="6">
        <v>5</v>
      </c>
      <c r="E108" s="7">
        <v>150.11</v>
      </c>
      <c r="F108" s="8">
        <f t="shared" si="1"/>
        <v>750.55</v>
      </c>
    </row>
    <row r="109" spans="1:6">
      <c r="A109" s="6" t="s">
        <v>181</v>
      </c>
      <c r="B109" s="6" t="s">
        <v>181</v>
      </c>
      <c r="C109" s="6" t="s">
        <v>182</v>
      </c>
      <c r="D109" s="6">
        <v>6</v>
      </c>
      <c r="E109" s="7">
        <v>150.11</v>
      </c>
      <c r="F109" s="8">
        <f t="shared" si="1"/>
        <v>900.66</v>
      </c>
    </row>
    <row r="110" spans="1:6">
      <c r="A110" s="6" t="s">
        <v>183</v>
      </c>
      <c r="B110" s="6" t="s">
        <v>183</v>
      </c>
      <c r="C110" s="6" t="s">
        <v>184</v>
      </c>
      <c r="D110" s="6">
        <v>1</v>
      </c>
      <c r="E110" s="7">
        <v>142.63</v>
      </c>
      <c r="F110" s="8">
        <f t="shared" si="1"/>
        <v>142.63</v>
      </c>
    </row>
    <row r="111" spans="1:6">
      <c r="A111" s="6" t="s">
        <v>185</v>
      </c>
      <c r="B111" s="6" t="s">
        <v>185</v>
      </c>
      <c r="C111" s="6" t="s">
        <v>186</v>
      </c>
      <c r="D111" s="6">
        <v>2</v>
      </c>
      <c r="E111" s="7">
        <v>142.63</v>
      </c>
      <c r="F111" s="8">
        <f t="shared" si="1"/>
        <v>285.26</v>
      </c>
    </row>
    <row r="112" spans="1:6">
      <c r="A112" s="6" t="s">
        <v>187</v>
      </c>
      <c r="B112" s="6" t="s">
        <v>187</v>
      </c>
      <c r="C112" s="6" t="s">
        <v>188</v>
      </c>
      <c r="D112" s="6">
        <v>3</v>
      </c>
      <c r="E112" s="7">
        <v>142.63</v>
      </c>
      <c r="F112" s="8">
        <f t="shared" si="1"/>
        <v>427.89</v>
      </c>
    </row>
    <row r="113" spans="1:6">
      <c r="A113" s="6" t="s">
        <v>189</v>
      </c>
      <c r="B113" s="6" t="s">
        <v>189</v>
      </c>
      <c r="C113" s="6" t="s">
        <v>190</v>
      </c>
      <c r="D113" s="6">
        <v>4</v>
      </c>
      <c r="E113" s="7">
        <v>142.63</v>
      </c>
      <c r="F113" s="8">
        <f t="shared" si="1"/>
        <v>570.52</v>
      </c>
    </row>
    <row r="114" spans="1:6">
      <c r="A114" s="6" t="s">
        <v>191</v>
      </c>
      <c r="B114" s="6" t="s">
        <v>191</v>
      </c>
      <c r="C114" s="6" t="s">
        <v>192</v>
      </c>
      <c r="D114" s="6">
        <v>5</v>
      </c>
      <c r="E114" s="7">
        <v>142.63</v>
      </c>
      <c r="F114" s="8">
        <f t="shared" si="1"/>
        <v>713.15</v>
      </c>
    </row>
    <row r="115" spans="1:6">
      <c r="A115" s="6" t="s">
        <v>193</v>
      </c>
      <c r="B115" s="6" t="s">
        <v>193</v>
      </c>
      <c r="C115" s="6" t="s">
        <v>194</v>
      </c>
      <c r="D115" s="6">
        <v>6</v>
      </c>
      <c r="E115" s="7">
        <v>142.63</v>
      </c>
      <c r="F115" s="8">
        <f t="shared" si="1"/>
        <v>855.78</v>
      </c>
    </row>
    <row r="116" spans="1:6">
      <c r="A116" s="6" t="s">
        <v>195</v>
      </c>
      <c r="B116" s="6" t="s">
        <v>195</v>
      </c>
      <c r="C116" s="6" t="s">
        <v>196</v>
      </c>
      <c r="D116" s="6">
        <v>1</v>
      </c>
      <c r="E116" s="7">
        <v>127.67</v>
      </c>
      <c r="F116" s="8">
        <f t="shared" si="1"/>
        <v>127.67</v>
      </c>
    </row>
    <row r="117" spans="1:6">
      <c r="A117" s="6" t="s">
        <v>197</v>
      </c>
      <c r="B117" s="6" t="s">
        <v>197</v>
      </c>
      <c r="C117" s="6" t="s">
        <v>198</v>
      </c>
      <c r="D117" s="6">
        <v>2</v>
      </c>
      <c r="E117" s="7">
        <v>127.67</v>
      </c>
      <c r="F117" s="8">
        <f t="shared" si="1"/>
        <v>255.34</v>
      </c>
    </row>
    <row r="118" spans="1:6">
      <c r="A118" s="6" t="s">
        <v>199</v>
      </c>
      <c r="B118" s="6" t="s">
        <v>199</v>
      </c>
      <c r="C118" s="6" t="s">
        <v>200</v>
      </c>
      <c r="D118" s="6">
        <v>3</v>
      </c>
      <c r="E118" s="7">
        <v>127.67</v>
      </c>
      <c r="F118" s="8">
        <f t="shared" si="1"/>
        <v>383.01</v>
      </c>
    </row>
    <row r="119" spans="1:6">
      <c r="A119" s="6" t="s">
        <v>201</v>
      </c>
      <c r="B119" s="6" t="s">
        <v>201</v>
      </c>
      <c r="C119" s="6" t="s">
        <v>202</v>
      </c>
      <c r="D119" s="6">
        <v>4</v>
      </c>
      <c r="E119" s="7">
        <v>127.67</v>
      </c>
      <c r="F119" s="8">
        <f t="shared" si="1"/>
        <v>510.68</v>
      </c>
    </row>
    <row r="120" spans="1:6">
      <c r="A120" s="6" t="s">
        <v>203</v>
      </c>
      <c r="B120" s="6" t="s">
        <v>203</v>
      </c>
      <c r="C120" s="6" t="s">
        <v>204</v>
      </c>
      <c r="D120" s="6">
        <v>5</v>
      </c>
      <c r="E120" s="7">
        <v>127.67</v>
      </c>
      <c r="F120" s="8">
        <f t="shared" si="1"/>
        <v>638.35</v>
      </c>
    </row>
    <row r="121" spans="1:6">
      <c r="A121" s="6" t="s">
        <v>205</v>
      </c>
      <c r="B121" s="6" t="s">
        <v>205</v>
      </c>
      <c r="C121" s="6" t="s">
        <v>206</v>
      </c>
      <c r="D121" s="6">
        <v>6</v>
      </c>
      <c r="E121" s="7">
        <v>127.67</v>
      </c>
      <c r="F121" s="8">
        <f t="shared" si="1"/>
        <v>766.02</v>
      </c>
    </row>
    <row r="122" spans="1:6">
      <c r="A122" s="6" t="s">
        <v>207</v>
      </c>
      <c r="B122" s="6" t="s">
        <v>207</v>
      </c>
      <c r="C122" s="6" t="s">
        <v>208</v>
      </c>
      <c r="D122" s="6">
        <v>1</v>
      </c>
      <c r="E122" s="7">
        <v>116.45</v>
      </c>
      <c r="F122" s="8">
        <f t="shared" si="1"/>
        <v>116.45</v>
      </c>
    </row>
    <row r="123" spans="1:6">
      <c r="A123" s="6" t="s">
        <v>209</v>
      </c>
      <c r="B123" s="6" t="s">
        <v>209</v>
      </c>
      <c r="C123" s="6" t="s">
        <v>210</v>
      </c>
      <c r="D123" s="6">
        <v>2</v>
      </c>
      <c r="E123" s="7">
        <v>116.45</v>
      </c>
      <c r="F123" s="8">
        <f t="shared" si="1"/>
        <v>232.9</v>
      </c>
    </row>
    <row r="124" spans="1:6">
      <c r="A124" s="6" t="s">
        <v>211</v>
      </c>
      <c r="B124" s="6" t="s">
        <v>211</v>
      </c>
      <c r="C124" s="6" t="s">
        <v>212</v>
      </c>
      <c r="D124" s="6">
        <v>3</v>
      </c>
      <c r="E124" s="7">
        <v>116.45</v>
      </c>
      <c r="F124" s="8">
        <f t="shared" si="1"/>
        <v>349.35</v>
      </c>
    </row>
    <row r="125" spans="1:6">
      <c r="A125" s="6" t="s">
        <v>213</v>
      </c>
      <c r="B125" s="6" t="s">
        <v>213</v>
      </c>
      <c r="C125" s="6" t="s">
        <v>214</v>
      </c>
      <c r="D125" s="6">
        <v>4</v>
      </c>
      <c r="E125" s="7">
        <v>116.45</v>
      </c>
      <c r="F125" s="8">
        <f t="shared" si="1"/>
        <v>465.8</v>
      </c>
    </row>
    <row r="126" spans="1:6">
      <c r="A126" s="6" t="s">
        <v>215</v>
      </c>
      <c r="B126" s="6" t="s">
        <v>215</v>
      </c>
      <c r="C126" s="6" t="s">
        <v>216</v>
      </c>
      <c r="D126" s="6">
        <v>5</v>
      </c>
      <c r="E126" s="7">
        <v>116.45</v>
      </c>
      <c r="F126" s="8">
        <f t="shared" si="1"/>
        <v>582.25</v>
      </c>
    </row>
    <row r="127" spans="1:6">
      <c r="A127" s="6" t="s">
        <v>217</v>
      </c>
      <c r="B127" s="6" t="s">
        <v>217</v>
      </c>
      <c r="C127" s="6" t="s">
        <v>218</v>
      </c>
      <c r="D127" s="6">
        <v>6</v>
      </c>
      <c r="E127" s="7">
        <v>116.45</v>
      </c>
      <c r="F127" s="8">
        <f t="shared" si="1"/>
        <v>698.7</v>
      </c>
    </row>
    <row r="128" spans="1:6">
      <c r="A128" s="6" t="s">
        <v>219</v>
      </c>
      <c r="B128" s="6" t="s">
        <v>219</v>
      </c>
      <c r="C128" s="6" t="s">
        <v>220</v>
      </c>
      <c r="D128" s="6">
        <v>1</v>
      </c>
      <c r="E128" s="7">
        <v>192.99</v>
      </c>
      <c r="F128" s="8">
        <f t="shared" si="1"/>
        <v>192.99</v>
      </c>
    </row>
    <row r="129" spans="1:6">
      <c r="A129" s="6" t="s">
        <v>221</v>
      </c>
      <c r="B129" s="6" t="s">
        <v>221</v>
      </c>
      <c r="C129" s="6" t="s">
        <v>222</v>
      </c>
      <c r="D129" s="6">
        <v>2</v>
      </c>
      <c r="E129" s="7">
        <v>192.99</v>
      </c>
      <c r="F129" s="8">
        <f t="shared" si="1"/>
        <v>385.98</v>
      </c>
    </row>
    <row r="130" spans="1:6">
      <c r="A130" s="6" t="s">
        <v>223</v>
      </c>
      <c r="B130" s="6" t="s">
        <v>223</v>
      </c>
      <c r="C130" s="6" t="s">
        <v>224</v>
      </c>
      <c r="D130" s="6">
        <v>3</v>
      </c>
      <c r="E130" s="7">
        <v>192.99</v>
      </c>
      <c r="F130" s="8">
        <f t="shared" ref="F130:F182" si="2">E130*D130</f>
        <v>578.97</v>
      </c>
    </row>
    <row r="131" spans="1:6">
      <c r="A131" s="6" t="s">
        <v>225</v>
      </c>
      <c r="B131" s="6" t="s">
        <v>225</v>
      </c>
      <c r="C131" s="6" t="s">
        <v>226</v>
      </c>
      <c r="D131" s="6">
        <v>4</v>
      </c>
      <c r="E131" s="7">
        <v>192.99</v>
      </c>
      <c r="F131" s="8">
        <f t="shared" si="2"/>
        <v>771.96</v>
      </c>
    </row>
    <row r="132" spans="1:6">
      <c r="A132" s="6" t="s">
        <v>227</v>
      </c>
      <c r="B132" s="6" t="s">
        <v>227</v>
      </c>
      <c r="C132" s="6" t="s">
        <v>228</v>
      </c>
      <c r="D132" s="6">
        <v>5</v>
      </c>
      <c r="E132" s="7">
        <v>192.99</v>
      </c>
      <c r="F132" s="8">
        <f t="shared" si="2"/>
        <v>964.95</v>
      </c>
    </row>
    <row r="133" spans="1:6">
      <c r="A133" s="6" t="s">
        <v>229</v>
      </c>
      <c r="B133" s="6" t="s">
        <v>229</v>
      </c>
      <c r="C133" s="6" t="s">
        <v>230</v>
      </c>
      <c r="D133" s="6">
        <v>6</v>
      </c>
      <c r="E133" s="7">
        <v>192.99</v>
      </c>
      <c r="F133" s="8">
        <f t="shared" si="2"/>
        <v>1157.94</v>
      </c>
    </row>
    <row r="134" spans="1:6">
      <c r="A134" s="6" t="s">
        <v>231</v>
      </c>
      <c r="B134" s="6" t="s">
        <v>231</v>
      </c>
      <c r="C134" s="6" t="s">
        <v>232</v>
      </c>
      <c r="D134" s="6">
        <v>1</v>
      </c>
      <c r="E134" s="7">
        <v>276.46</v>
      </c>
      <c r="F134" s="8">
        <f t="shared" si="2"/>
        <v>276.46</v>
      </c>
    </row>
    <row r="135" spans="1:6">
      <c r="A135" s="6" t="s">
        <v>233</v>
      </c>
      <c r="B135" s="6" t="s">
        <v>233</v>
      </c>
      <c r="C135" s="6" t="s">
        <v>234</v>
      </c>
      <c r="D135" s="6">
        <v>2</v>
      </c>
      <c r="E135" s="7">
        <v>276.46</v>
      </c>
      <c r="F135" s="8">
        <f t="shared" si="2"/>
        <v>552.92</v>
      </c>
    </row>
    <row r="136" spans="1:6">
      <c r="A136" s="6" t="s">
        <v>235</v>
      </c>
      <c r="B136" s="6" t="s">
        <v>235</v>
      </c>
      <c r="C136" s="6" t="s">
        <v>236</v>
      </c>
      <c r="D136" s="6">
        <v>3</v>
      </c>
      <c r="E136" s="7">
        <v>276.46</v>
      </c>
      <c r="F136" s="8">
        <f t="shared" si="2"/>
        <v>829.38</v>
      </c>
    </row>
    <row r="137" spans="1:6">
      <c r="A137" s="6" t="s">
        <v>237</v>
      </c>
      <c r="B137" s="6" t="s">
        <v>237</v>
      </c>
      <c r="C137" s="6" t="s">
        <v>238</v>
      </c>
      <c r="D137" s="6">
        <v>4</v>
      </c>
      <c r="E137" s="7">
        <v>276.46</v>
      </c>
      <c r="F137" s="8">
        <f t="shared" si="2"/>
        <v>1105.84</v>
      </c>
    </row>
    <row r="138" spans="1:6">
      <c r="A138" s="6" t="s">
        <v>239</v>
      </c>
      <c r="B138" s="6" t="s">
        <v>239</v>
      </c>
      <c r="C138" s="6" t="s">
        <v>240</v>
      </c>
      <c r="D138" s="6">
        <v>5</v>
      </c>
      <c r="E138" s="7">
        <v>276.46</v>
      </c>
      <c r="F138" s="8">
        <f t="shared" si="2"/>
        <v>1382.3</v>
      </c>
    </row>
    <row r="139" spans="1:6">
      <c r="A139" s="6" t="s">
        <v>241</v>
      </c>
      <c r="B139" s="6" t="s">
        <v>241</v>
      </c>
      <c r="C139" s="6" t="s">
        <v>242</v>
      </c>
      <c r="D139" s="6">
        <v>6</v>
      </c>
      <c r="E139" s="7">
        <v>276.46</v>
      </c>
      <c r="F139" s="8">
        <f t="shared" si="2"/>
        <v>1658.76</v>
      </c>
    </row>
    <row r="140" spans="1:6">
      <c r="A140" s="6" t="s">
        <v>243</v>
      </c>
      <c r="B140" s="6" t="s">
        <v>243</v>
      </c>
      <c r="C140" s="6" t="s">
        <v>244</v>
      </c>
      <c r="D140" s="6">
        <v>1</v>
      </c>
      <c r="E140" s="7">
        <v>148.23</v>
      </c>
      <c r="F140" s="8">
        <f t="shared" si="2"/>
        <v>148.23</v>
      </c>
    </row>
    <row r="141" spans="1:6">
      <c r="A141" s="6" t="s">
        <v>245</v>
      </c>
      <c r="B141" s="6" t="s">
        <v>245</v>
      </c>
      <c r="C141" s="6" t="s">
        <v>246</v>
      </c>
      <c r="D141" s="6">
        <v>2</v>
      </c>
      <c r="E141" s="7">
        <v>148.23</v>
      </c>
      <c r="F141" s="8">
        <f t="shared" si="2"/>
        <v>296.46</v>
      </c>
    </row>
    <row r="142" spans="1:6">
      <c r="A142" s="6" t="s">
        <v>247</v>
      </c>
      <c r="B142" s="6" t="s">
        <v>247</v>
      </c>
      <c r="C142" s="6" t="s">
        <v>248</v>
      </c>
      <c r="D142" s="6">
        <v>3</v>
      </c>
      <c r="E142" s="7">
        <v>148.23</v>
      </c>
      <c r="F142" s="8">
        <f t="shared" si="2"/>
        <v>444.69</v>
      </c>
    </row>
    <row r="143" spans="1:6">
      <c r="A143" s="6" t="s">
        <v>249</v>
      </c>
      <c r="B143" s="6" t="s">
        <v>249</v>
      </c>
      <c r="C143" s="6" t="s">
        <v>250</v>
      </c>
      <c r="D143" s="6">
        <v>4</v>
      </c>
      <c r="E143" s="7">
        <v>148.23</v>
      </c>
      <c r="F143" s="8">
        <f t="shared" si="2"/>
        <v>592.92</v>
      </c>
    </row>
    <row r="144" spans="1:6">
      <c r="A144" s="6" t="s">
        <v>251</v>
      </c>
      <c r="B144" s="6" t="s">
        <v>251</v>
      </c>
      <c r="C144" s="6" t="s">
        <v>252</v>
      </c>
      <c r="D144" s="6">
        <v>5</v>
      </c>
      <c r="E144" s="7">
        <v>148.23</v>
      </c>
      <c r="F144" s="8">
        <f t="shared" si="2"/>
        <v>741.15</v>
      </c>
    </row>
    <row r="145" spans="1:6">
      <c r="A145" s="6" t="s">
        <v>253</v>
      </c>
      <c r="B145" s="6" t="s">
        <v>253</v>
      </c>
      <c r="C145" s="6" t="s">
        <v>254</v>
      </c>
      <c r="D145" s="6">
        <v>6</v>
      </c>
      <c r="E145" s="7">
        <v>148.23</v>
      </c>
      <c r="F145" s="8">
        <f t="shared" si="2"/>
        <v>889.38</v>
      </c>
    </row>
    <row r="146" spans="1:6">
      <c r="A146" s="6" t="s">
        <v>255</v>
      </c>
      <c r="B146" s="6" t="s">
        <v>255</v>
      </c>
      <c r="C146" s="6" t="s">
        <v>256</v>
      </c>
      <c r="D146" s="6">
        <v>1</v>
      </c>
      <c r="E146" s="7">
        <v>327.32</v>
      </c>
      <c r="F146" s="8">
        <f t="shared" si="2"/>
        <v>327.32</v>
      </c>
    </row>
    <row r="147" spans="1:6">
      <c r="A147" s="6" t="s">
        <v>257</v>
      </c>
      <c r="B147" s="6" t="s">
        <v>257</v>
      </c>
      <c r="C147" s="6" t="s">
        <v>258</v>
      </c>
      <c r="D147" s="6">
        <v>2</v>
      </c>
      <c r="E147" s="7">
        <v>327.32</v>
      </c>
      <c r="F147" s="8">
        <f t="shared" si="2"/>
        <v>654.64</v>
      </c>
    </row>
    <row r="148" spans="1:6">
      <c r="A148" s="6" t="s">
        <v>259</v>
      </c>
      <c r="B148" s="6" t="s">
        <v>259</v>
      </c>
      <c r="C148" s="6" t="s">
        <v>260</v>
      </c>
      <c r="D148" s="6">
        <v>3</v>
      </c>
      <c r="E148" s="7">
        <v>327.32</v>
      </c>
      <c r="F148" s="8">
        <f t="shared" si="2"/>
        <v>981.96</v>
      </c>
    </row>
    <row r="149" spans="1:6">
      <c r="A149" s="6" t="s">
        <v>261</v>
      </c>
      <c r="B149" s="6" t="s">
        <v>261</v>
      </c>
      <c r="C149" s="6" t="s">
        <v>262</v>
      </c>
      <c r="D149" s="6">
        <v>4</v>
      </c>
      <c r="E149" s="7">
        <v>327.32</v>
      </c>
      <c r="F149" s="8">
        <f t="shared" si="2"/>
        <v>1309.28</v>
      </c>
    </row>
    <row r="150" spans="1:6">
      <c r="A150" s="6" t="s">
        <v>263</v>
      </c>
      <c r="B150" s="6" t="s">
        <v>263</v>
      </c>
      <c r="C150" s="6" t="s">
        <v>264</v>
      </c>
      <c r="D150" s="6">
        <v>5</v>
      </c>
      <c r="E150" s="7">
        <v>327.32</v>
      </c>
      <c r="F150" s="8">
        <f t="shared" si="2"/>
        <v>1636.6</v>
      </c>
    </row>
    <row r="151" spans="1:6">
      <c r="A151" s="6" t="s">
        <v>265</v>
      </c>
      <c r="B151" s="6" t="s">
        <v>265</v>
      </c>
      <c r="C151" s="6" t="s">
        <v>266</v>
      </c>
      <c r="D151" s="6">
        <v>6</v>
      </c>
      <c r="E151" s="7">
        <v>327.32</v>
      </c>
      <c r="F151" s="8">
        <f t="shared" si="2"/>
        <v>1963.92</v>
      </c>
    </row>
    <row r="152" spans="1:6">
      <c r="A152" s="6" t="s">
        <v>267</v>
      </c>
      <c r="B152" s="6" t="s">
        <v>267</v>
      </c>
      <c r="C152" s="6" t="s">
        <v>268</v>
      </c>
      <c r="D152" s="6">
        <v>1</v>
      </c>
      <c r="E152" s="7">
        <v>276.69</v>
      </c>
      <c r="F152" s="8">
        <f t="shared" si="2"/>
        <v>276.69</v>
      </c>
    </row>
    <row r="153" spans="1:6">
      <c r="A153" s="6" t="s">
        <v>269</v>
      </c>
      <c r="B153" s="6" t="s">
        <v>269</v>
      </c>
      <c r="C153" s="6" t="s">
        <v>270</v>
      </c>
      <c r="D153" s="6">
        <v>2</v>
      </c>
      <c r="E153" s="7">
        <v>276.69</v>
      </c>
      <c r="F153" s="8">
        <f t="shared" si="2"/>
        <v>553.38</v>
      </c>
    </row>
    <row r="154" spans="1:6">
      <c r="A154" s="6" t="s">
        <v>271</v>
      </c>
      <c r="B154" s="6" t="s">
        <v>271</v>
      </c>
      <c r="C154" s="6" t="s">
        <v>272</v>
      </c>
      <c r="D154" s="6">
        <v>3</v>
      </c>
      <c r="E154" s="7">
        <v>276.69</v>
      </c>
      <c r="F154" s="8">
        <f t="shared" si="2"/>
        <v>830.07</v>
      </c>
    </row>
    <row r="155" spans="1:6">
      <c r="A155" s="6" t="s">
        <v>273</v>
      </c>
      <c r="B155" s="6" t="s">
        <v>273</v>
      </c>
      <c r="C155" s="6" t="s">
        <v>274</v>
      </c>
      <c r="D155" s="6">
        <v>4</v>
      </c>
      <c r="E155" s="7">
        <v>276.69</v>
      </c>
      <c r="F155" s="8">
        <f t="shared" si="2"/>
        <v>1106.76</v>
      </c>
    </row>
    <row r="156" spans="1:6">
      <c r="A156" s="6" t="s">
        <v>275</v>
      </c>
      <c r="B156" s="6" t="s">
        <v>275</v>
      </c>
      <c r="C156" s="6" t="s">
        <v>276</v>
      </c>
      <c r="D156" s="6">
        <v>5</v>
      </c>
      <c r="E156" s="7">
        <v>276.69</v>
      </c>
      <c r="F156" s="8">
        <f t="shared" si="2"/>
        <v>1383.45</v>
      </c>
    </row>
    <row r="157" spans="1:6">
      <c r="A157" s="6" t="s">
        <v>277</v>
      </c>
      <c r="B157" s="6" t="s">
        <v>277</v>
      </c>
      <c r="C157" s="6" t="s">
        <v>278</v>
      </c>
      <c r="D157" s="6">
        <v>6</v>
      </c>
      <c r="E157" s="7">
        <v>276.69</v>
      </c>
      <c r="F157" s="8">
        <f t="shared" si="2"/>
        <v>1660.14</v>
      </c>
    </row>
    <row r="158" spans="1:6">
      <c r="A158" s="6" t="s">
        <v>279</v>
      </c>
      <c r="B158" s="6" t="s">
        <v>279</v>
      </c>
      <c r="C158" s="6" t="s">
        <v>280</v>
      </c>
      <c r="D158" s="6">
        <v>1</v>
      </c>
      <c r="E158" s="7">
        <v>310.63</v>
      </c>
      <c r="F158" s="8">
        <f t="shared" si="2"/>
        <v>310.63</v>
      </c>
    </row>
    <row r="159" spans="1:6">
      <c r="A159" s="6" t="s">
        <v>281</v>
      </c>
      <c r="B159" s="6" t="s">
        <v>281</v>
      </c>
      <c r="C159" s="6" t="s">
        <v>282</v>
      </c>
      <c r="D159" s="6">
        <v>2</v>
      </c>
      <c r="E159" s="7">
        <v>310.63</v>
      </c>
      <c r="F159" s="8">
        <f t="shared" si="2"/>
        <v>621.26</v>
      </c>
    </row>
    <row r="160" spans="1:6">
      <c r="A160" s="6" t="s">
        <v>283</v>
      </c>
      <c r="B160" s="6" t="s">
        <v>283</v>
      </c>
      <c r="C160" s="6" t="s">
        <v>284</v>
      </c>
      <c r="D160" s="6">
        <v>3</v>
      </c>
      <c r="E160" s="7">
        <v>310.63</v>
      </c>
      <c r="F160" s="8">
        <f t="shared" si="2"/>
        <v>931.89</v>
      </c>
    </row>
    <row r="161" spans="1:6">
      <c r="A161" s="6" t="s">
        <v>285</v>
      </c>
      <c r="B161" s="6" t="s">
        <v>285</v>
      </c>
      <c r="C161" s="6" t="s">
        <v>286</v>
      </c>
      <c r="D161" s="6">
        <v>4</v>
      </c>
      <c r="E161" s="7">
        <v>310.63</v>
      </c>
      <c r="F161" s="8">
        <f t="shared" si="2"/>
        <v>1242.52</v>
      </c>
    </row>
    <row r="162" spans="1:6">
      <c r="A162" s="6" t="s">
        <v>287</v>
      </c>
      <c r="B162" s="6" t="s">
        <v>287</v>
      </c>
      <c r="C162" s="6" t="s">
        <v>288</v>
      </c>
      <c r="D162" s="6">
        <v>5</v>
      </c>
      <c r="E162" s="7">
        <v>310.63</v>
      </c>
      <c r="F162" s="8">
        <f t="shared" si="2"/>
        <v>1553.15</v>
      </c>
    </row>
    <row r="163" spans="1:6">
      <c r="A163" s="6" t="s">
        <v>289</v>
      </c>
      <c r="B163" s="6" t="s">
        <v>289</v>
      </c>
      <c r="C163" s="6" t="s">
        <v>290</v>
      </c>
      <c r="D163" s="6">
        <v>6</v>
      </c>
      <c r="E163" s="7">
        <v>310.63</v>
      </c>
      <c r="F163" s="8">
        <f t="shared" si="2"/>
        <v>1863.78</v>
      </c>
    </row>
    <row r="164" spans="1:6">
      <c r="A164" s="6" t="s">
        <v>291</v>
      </c>
      <c r="B164" s="6" t="s">
        <v>291</v>
      </c>
      <c r="C164" s="6" t="s">
        <v>292</v>
      </c>
      <c r="D164" s="6">
        <v>1</v>
      </c>
      <c r="E164" s="7">
        <v>107</v>
      </c>
      <c r="F164" s="8">
        <f t="shared" si="2"/>
        <v>107</v>
      </c>
    </row>
    <row r="165" spans="1:6">
      <c r="A165" s="6" t="s">
        <v>293</v>
      </c>
      <c r="B165" s="6" t="s">
        <v>291</v>
      </c>
      <c r="C165" s="6" t="s">
        <v>294</v>
      </c>
      <c r="D165" s="6">
        <v>3</v>
      </c>
      <c r="E165" s="7">
        <v>107</v>
      </c>
      <c r="F165" s="8">
        <f t="shared" si="2"/>
        <v>321</v>
      </c>
    </row>
    <row r="166" spans="1:6">
      <c r="A166" s="6" t="s">
        <v>295</v>
      </c>
      <c r="B166" s="6" t="s">
        <v>291</v>
      </c>
      <c r="C166" s="6" t="s">
        <v>296</v>
      </c>
      <c r="D166" s="6">
        <v>6</v>
      </c>
      <c r="E166" s="7">
        <v>107</v>
      </c>
      <c r="F166" s="8">
        <f t="shared" si="2"/>
        <v>642</v>
      </c>
    </row>
    <row r="167" spans="1:6">
      <c r="A167" s="6" t="s">
        <v>297</v>
      </c>
      <c r="B167" s="6" t="s">
        <v>297</v>
      </c>
      <c r="C167" s="6" t="s">
        <v>298</v>
      </c>
      <c r="D167" s="6">
        <v>1</v>
      </c>
      <c r="E167" s="7">
        <v>107</v>
      </c>
      <c r="F167" s="8">
        <f t="shared" si="2"/>
        <v>107</v>
      </c>
    </row>
    <row r="168" spans="1:6">
      <c r="A168" s="6" t="s">
        <v>299</v>
      </c>
      <c r="B168" s="6" t="s">
        <v>297</v>
      </c>
      <c r="C168" s="6" t="s">
        <v>300</v>
      </c>
      <c r="D168" s="6">
        <v>3</v>
      </c>
      <c r="E168" s="7">
        <v>107</v>
      </c>
      <c r="F168" s="8">
        <f t="shared" si="2"/>
        <v>321</v>
      </c>
    </row>
    <row r="169" spans="1:6">
      <c r="A169" s="6" t="s">
        <v>301</v>
      </c>
      <c r="B169" s="6" t="s">
        <v>297</v>
      </c>
      <c r="C169" s="6" t="s">
        <v>302</v>
      </c>
      <c r="D169" s="6">
        <v>6</v>
      </c>
      <c r="E169" s="7">
        <v>107</v>
      </c>
      <c r="F169" s="8">
        <f t="shared" si="2"/>
        <v>642</v>
      </c>
    </row>
    <row r="170" spans="1:6">
      <c r="A170" s="6" t="s">
        <v>303</v>
      </c>
      <c r="B170" s="6" t="s">
        <v>303</v>
      </c>
      <c r="C170" s="6" t="s">
        <v>304</v>
      </c>
      <c r="D170" s="6">
        <v>1</v>
      </c>
      <c r="E170" s="7">
        <v>185</v>
      </c>
      <c r="F170" s="8">
        <f t="shared" si="2"/>
        <v>185</v>
      </c>
    </row>
    <row r="171" spans="1:6">
      <c r="A171" s="6" t="s">
        <v>305</v>
      </c>
      <c r="B171" s="6" t="s">
        <v>303</v>
      </c>
      <c r="C171" s="6" t="s">
        <v>306</v>
      </c>
      <c r="D171" s="6">
        <v>2</v>
      </c>
      <c r="E171" s="7">
        <v>185</v>
      </c>
      <c r="F171" s="8">
        <f t="shared" si="2"/>
        <v>370</v>
      </c>
    </row>
    <row r="172" spans="1:6">
      <c r="A172" s="6" t="s">
        <v>307</v>
      </c>
      <c r="B172" s="6" t="s">
        <v>303</v>
      </c>
      <c r="C172" s="6" t="s">
        <v>308</v>
      </c>
      <c r="D172" s="6">
        <v>3</v>
      </c>
      <c r="E172" s="7">
        <v>185</v>
      </c>
      <c r="F172" s="8">
        <f t="shared" si="2"/>
        <v>555</v>
      </c>
    </row>
    <row r="173" spans="1:6">
      <c r="A173" s="6" t="s">
        <v>309</v>
      </c>
      <c r="B173" s="6" t="s">
        <v>303</v>
      </c>
      <c r="C173" s="6" t="s">
        <v>310</v>
      </c>
      <c r="D173" s="6">
        <v>6</v>
      </c>
      <c r="E173" s="7">
        <v>185</v>
      </c>
      <c r="F173" s="8">
        <f t="shared" si="2"/>
        <v>1110</v>
      </c>
    </row>
    <row r="174" spans="1:6">
      <c r="A174" s="6" t="s">
        <v>311</v>
      </c>
      <c r="B174" s="6" t="s">
        <v>311</v>
      </c>
      <c r="C174" s="6" t="s">
        <v>312</v>
      </c>
      <c r="D174" s="6">
        <v>1</v>
      </c>
      <c r="E174" s="7">
        <v>152</v>
      </c>
      <c r="F174" s="8">
        <f t="shared" si="2"/>
        <v>152</v>
      </c>
    </row>
    <row r="175" spans="1:6">
      <c r="A175" s="6" t="s">
        <v>313</v>
      </c>
      <c r="B175" s="6" t="s">
        <v>313</v>
      </c>
      <c r="C175" s="6" t="s">
        <v>314</v>
      </c>
      <c r="D175" s="6">
        <v>1</v>
      </c>
      <c r="E175" s="7">
        <v>82.5</v>
      </c>
      <c r="F175" s="8">
        <f t="shared" si="2"/>
        <v>82.5</v>
      </c>
    </row>
    <row r="176" spans="1:6">
      <c r="A176" s="6" t="s">
        <v>315</v>
      </c>
      <c r="B176" s="6" t="s">
        <v>313</v>
      </c>
      <c r="C176" s="6" t="s">
        <v>316</v>
      </c>
      <c r="D176" s="6">
        <v>2</v>
      </c>
      <c r="E176" s="7">
        <v>82.5</v>
      </c>
      <c r="F176" s="8">
        <f t="shared" si="2"/>
        <v>165</v>
      </c>
    </row>
    <row r="177" spans="1:6">
      <c r="A177" s="6" t="s">
        <v>317</v>
      </c>
      <c r="B177" s="6" t="s">
        <v>317</v>
      </c>
      <c r="C177" s="6" t="s">
        <v>318</v>
      </c>
      <c r="D177" s="6">
        <v>1</v>
      </c>
      <c r="E177" s="7">
        <v>185</v>
      </c>
      <c r="F177" s="8">
        <f t="shared" si="2"/>
        <v>185</v>
      </c>
    </row>
    <row r="178" spans="1:6">
      <c r="A178" s="6" t="s">
        <v>319</v>
      </c>
      <c r="B178" s="6" t="s">
        <v>317</v>
      </c>
      <c r="C178" s="6" t="s">
        <v>320</v>
      </c>
      <c r="D178" s="6">
        <v>2</v>
      </c>
      <c r="E178" s="7">
        <v>185</v>
      </c>
      <c r="F178" s="8">
        <f t="shared" si="2"/>
        <v>370</v>
      </c>
    </row>
    <row r="179" spans="1:6">
      <c r="A179" s="6" t="s">
        <v>321</v>
      </c>
      <c r="B179" s="6" t="s">
        <v>317</v>
      </c>
      <c r="C179" s="6" t="s">
        <v>322</v>
      </c>
      <c r="D179" s="6">
        <v>3</v>
      </c>
      <c r="E179" s="7">
        <v>185</v>
      </c>
      <c r="F179" s="8">
        <f t="shared" si="2"/>
        <v>555</v>
      </c>
    </row>
    <row r="180" spans="1:6">
      <c r="A180" s="6" t="s">
        <v>323</v>
      </c>
      <c r="B180" s="6" t="s">
        <v>317</v>
      </c>
      <c r="C180" s="6" t="s">
        <v>324</v>
      </c>
      <c r="D180" s="6">
        <v>6</v>
      </c>
      <c r="E180" s="7">
        <v>185</v>
      </c>
      <c r="F180" s="8">
        <f t="shared" si="2"/>
        <v>1110</v>
      </c>
    </row>
    <row r="181" spans="1:6">
      <c r="A181" s="6" t="s">
        <v>325</v>
      </c>
      <c r="B181" s="6" t="s">
        <v>325</v>
      </c>
      <c r="C181" s="6" t="s">
        <v>326</v>
      </c>
      <c r="D181" s="6">
        <v>1</v>
      </c>
      <c r="E181" s="7">
        <v>262.2</v>
      </c>
      <c r="F181" s="8">
        <f t="shared" si="2"/>
        <v>262.2</v>
      </c>
    </row>
    <row r="182" spans="1:6">
      <c r="A182" s="6" t="s">
        <v>327</v>
      </c>
      <c r="B182" s="6" t="s">
        <v>327</v>
      </c>
      <c r="C182" s="6" t="s">
        <v>328</v>
      </c>
      <c r="D182" s="6">
        <v>1</v>
      </c>
      <c r="E182" s="7">
        <v>102</v>
      </c>
      <c r="F182" s="8">
        <f t="shared" si="2"/>
        <v>102</v>
      </c>
    </row>
  </sheetData>
  <sortState ref="A2:H38">
    <sortCondition ref="C2:C38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18" sqref="C18"/>
    </sheetView>
  </sheetViews>
  <sheetFormatPr defaultColWidth="9" defaultRowHeight="13.5" outlineLevelCol="2"/>
  <cols>
    <col min="1" max="1" width="24.875" customWidth="1"/>
    <col min="2" max="2" width="25.625" customWidth="1"/>
    <col min="3" max="3" width="17.375" customWidth="1"/>
  </cols>
  <sheetData>
    <row r="1" spans="1:3">
      <c r="A1" t="s">
        <v>329</v>
      </c>
      <c r="B1" t="s">
        <v>2</v>
      </c>
      <c r="C1" t="s">
        <v>330</v>
      </c>
    </row>
    <row r="2" spans="1:3">
      <c r="A2" t="s">
        <v>6</v>
      </c>
      <c r="B2" t="s">
        <v>331</v>
      </c>
      <c r="C2">
        <v>382</v>
      </c>
    </row>
    <row r="3" spans="1:3">
      <c r="A3" t="s">
        <v>7</v>
      </c>
      <c r="B3" t="s">
        <v>332</v>
      </c>
      <c r="C3">
        <v>187</v>
      </c>
    </row>
    <row r="4" spans="1:3">
      <c r="A4" t="s">
        <v>10</v>
      </c>
      <c r="B4" t="s">
        <v>332</v>
      </c>
      <c r="C4">
        <v>187</v>
      </c>
    </row>
    <row r="5" spans="1:3">
      <c r="A5" t="s">
        <v>11</v>
      </c>
      <c r="B5" t="s">
        <v>333</v>
      </c>
      <c r="C5">
        <v>338</v>
      </c>
    </row>
    <row r="6" spans="1:3">
      <c r="A6" t="s">
        <v>13</v>
      </c>
      <c r="B6" t="s">
        <v>334</v>
      </c>
      <c r="C6">
        <v>180</v>
      </c>
    </row>
    <row r="7" spans="1:3">
      <c r="A7" t="s">
        <v>15</v>
      </c>
      <c r="B7" t="s">
        <v>334</v>
      </c>
      <c r="C7">
        <v>180</v>
      </c>
    </row>
    <row r="8" spans="1:3">
      <c r="A8" t="s">
        <v>17</v>
      </c>
      <c r="B8" t="s">
        <v>74</v>
      </c>
      <c r="C8">
        <v>175</v>
      </c>
    </row>
    <row r="9" spans="1:3">
      <c r="A9" t="s">
        <v>18</v>
      </c>
      <c r="B9" t="s">
        <v>74</v>
      </c>
      <c r="C9">
        <v>175</v>
      </c>
    </row>
    <row r="10" spans="1:3">
      <c r="A10" t="s">
        <v>21</v>
      </c>
      <c r="B10" t="s">
        <v>335</v>
      </c>
      <c r="C10">
        <v>199</v>
      </c>
    </row>
    <row r="11" spans="1:3">
      <c r="A11" t="s">
        <v>24</v>
      </c>
      <c r="B11" t="s">
        <v>336</v>
      </c>
      <c r="C11">
        <v>159</v>
      </c>
    </row>
    <row r="12" spans="1:3">
      <c r="A12" t="s">
        <v>25</v>
      </c>
      <c r="B12" t="s">
        <v>337</v>
      </c>
      <c r="C12">
        <v>72.5</v>
      </c>
    </row>
    <row r="13" spans="1:3">
      <c r="A13" t="s">
        <v>42</v>
      </c>
      <c r="B13" t="s">
        <v>338</v>
      </c>
      <c r="C13">
        <v>103.5</v>
      </c>
    </row>
    <row r="14" spans="1:3">
      <c r="A14" t="s">
        <v>43</v>
      </c>
      <c r="B14" t="s">
        <v>339</v>
      </c>
      <c r="C14">
        <v>103.5</v>
      </c>
    </row>
    <row r="15" spans="1:3">
      <c r="A15" t="s">
        <v>44</v>
      </c>
      <c r="B15" t="s">
        <v>340</v>
      </c>
      <c r="C15">
        <v>76</v>
      </c>
    </row>
    <row r="16" spans="1:3">
      <c r="A16" t="s">
        <v>49</v>
      </c>
      <c r="B16" t="s">
        <v>341</v>
      </c>
      <c r="C16">
        <v>70</v>
      </c>
    </row>
    <row r="17" spans="1:3">
      <c r="A17" s="6" t="s">
        <v>32</v>
      </c>
      <c r="B17" s="6" t="s">
        <v>33</v>
      </c>
      <c r="C17">
        <v>107</v>
      </c>
    </row>
  </sheetData>
  <autoFilter xmlns:etc="http://www.wps.cn/officeDocument/2017/etCustomData" ref="A1:C17" etc:filterBottomFollowUsedRange="0">
    <sortState ref="A1:C17">
      <sortCondition ref="B2:B16"/>
    </sortState>
    <extLst/>
  </autoFilter>
  <sortState ref="A2:C16">
    <sortCondition ref="B2:B16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M16" sqref="M16"/>
    </sheetView>
  </sheetViews>
  <sheetFormatPr defaultColWidth="9" defaultRowHeight="13.5" outlineLevelCol="5"/>
  <sheetData>
    <row r="1" spans="1:6">
      <c r="A1" s="1" t="s">
        <v>75</v>
      </c>
      <c r="B1" s="1" t="s">
        <v>77</v>
      </c>
      <c r="C1" s="1" t="s">
        <v>79</v>
      </c>
      <c r="D1" s="1" t="s">
        <v>81</v>
      </c>
      <c r="E1" s="1" t="s">
        <v>83</v>
      </c>
      <c r="F1" s="1" t="s">
        <v>85</v>
      </c>
    </row>
    <row r="2" spans="1:6">
      <c r="A2" s="1" t="s">
        <v>87</v>
      </c>
      <c r="B2" s="1" t="s">
        <v>89</v>
      </c>
      <c r="C2" s="1" t="s">
        <v>91</v>
      </c>
      <c r="D2" s="1" t="s">
        <v>93</v>
      </c>
      <c r="E2" s="1" t="s">
        <v>95</v>
      </c>
      <c r="F2" s="1" t="s">
        <v>97</v>
      </c>
    </row>
    <row r="3" spans="1:6">
      <c r="A3" s="1" t="s">
        <v>99</v>
      </c>
      <c r="B3" s="1" t="s">
        <v>101</v>
      </c>
      <c r="C3" s="1" t="s">
        <v>103</v>
      </c>
      <c r="D3" s="1" t="s">
        <v>105</v>
      </c>
      <c r="E3" s="1" t="s">
        <v>107</v>
      </c>
      <c r="F3" s="1" t="s">
        <v>109</v>
      </c>
    </row>
    <row r="4" spans="1:6">
      <c r="A4" s="1" t="s">
        <v>111</v>
      </c>
      <c r="B4" s="1" t="s">
        <v>113</v>
      </c>
      <c r="C4" s="1" t="s">
        <v>115</v>
      </c>
      <c r="D4" s="1" t="s">
        <v>117</v>
      </c>
      <c r="E4" s="1" t="s">
        <v>119</v>
      </c>
      <c r="F4" s="1" t="s">
        <v>121</v>
      </c>
    </row>
    <row r="5" spans="1:6">
      <c r="A5" s="1" t="s">
        <v>171</v>
      </c>
      <c r="B5" s="1" t="s">
        <v>173</v>
      </c>
      <c r="C5" s="1" t="s">
        <v>175</v>
      </c>
      <c r="D5" s="1" t="s">
        <v>177</v>
      </c>
      <c r="E5" s="1" t="s">
        <v>179</v>
      </c>
      <c r="F5" s="1" t="s">
        <v>181</v>
      </c>
    </row>
    <row r="6" spans="1:6">
      <c r="A6" s="1" t="s">
        <v>183</v>
      </c>
      <c r="B6" s="1" t="s">
        <v>185</v>
      </c>
      <c r="C6" s="1" t="s">
        <v>187</v>
      </c>
      <c r="D6" s="1" t="s">
        <v>189</v>
      </c>
      <c r="E6" s="1" t="s">
        <v>191</v>
      </c>
      <c r="F6" s="1" t="s">
        <v>193</v>
      </c>
    </row>
    <row r="7" spans="1:6">
      <c r="A7" s="1" t="s">
        <v>195</v>
      </c>
      <c r="B7" s="1" t="s">
        <v>197</v>
      </c>
      <c r="C7" s="1" t="s">
        <v>199</v>
      </c>
      <c r="D7" s="1" t="s">
        <v>201</v>
      </c>
      <c r="E7" s="1" t="s">
        <v>203</v>
      </c>
      <c r="F7" s="1" t="s">
        <v>205</v>
      </c>
    </row>
    <row r="8" spans="1:6">
      <c r="A8" s="1" t="s">
        <v>207</v>
      </c>
      <c r="B8" s="1" t="s">
        <v>209</v>
      </c>
      <c r="C8" s="1" t="s">
        <v>211</v>
      </c>
      <c r="D8" s="1" t="s">
        <v>213</v>
      </c>
      <c r="E8" s="1" t="s">
        <v>215</v>
      </c>
      <c r="F8" s="1" t="s">
        <v>217</v>
      </c>
    </row>
    <row r="9" spans="1:6">
      <c r="A9" s="1" t="s">
        <v>231</v>
      </c>
      <c r="B9" s="1" t="s">
        <v>233</v>
      </c>
      <c r="C9" s="1" t="s">
        <v>235</v>
      </c>
      <c r="D9" s="1" t="s">
        <v>237</v>
      </c>
      <c r="E9" s="1" t="s">
        <v>239</v>
      </c>
      <c r="F9" s="1" t="s">
        <v>241</v>
      </c>
    </row>
    <row r="10" spans="1:6">
      <c r="A10" s="1" t="s">
        <v>243</v>
      </c>
      <c r="B10" s="1" t="s">
        <v>245</v>
      </c>
      <c r="C10" s="1" t="s">
        <v>247</v>
      </c>
      <c r="D10" s="1" t="s">
        <v>249</v>
      </c>
      <c r="E10" s="1" t="s">
        <v>251</v>
      </c>
      <c r="F10" s="1" t="s">
        <v>253</v>
      </c>
    </row>
    <row r="11" spans="1:6">
      <c r="A11" s="1" t="s">
        <v>279</v>
      </c>
      <c r="B11" s="1" t="s">
        <v>281</v>
      </c>
      <c r="C11" s="1" t="s">
        <v>283</v>
      </c>
      <c r="D11" s="1" t="s">
        <v>285</v>
      </c>
      <c r="E11" s="1" t="s">
        <v>287</v>
      </c>
      <c r="F11" s="1" t="s">
        <v>289</v>
      </c>
    </row>
    <row r="12" spans="1:6">
      <c r="A12" s="1" t="s">
        <v>342</v>
      </c>
      <c r="B12" s="1" t="s">
        <v>343</v>
      </c>
      <c r="C12" s="1" t="s">
        <v>344</v>
      </c>
      <c r="D12" s="1" t="s">
        <v>345</v>
      </c>
      <c r="E12" s="1" t="s">
        <v>346</v>
      </c>
      <c r="F12" s="1" t="s">
        <v>347</v>
      </c>
    </row>
    <row r="13" spans="1:6">
      <c r="A13" s="2" t="s">
        <v>348</v>
      </c>
      <c r="B13" s="2" t="s">
        <v>349</v>
      </c>
      <c r="C13" s="2" t="s">
        <v>350</v>
      </c>
      <c r="D13" s="2" t="s">
        <v>351</v>
      </c>
      <c r="E13" s="2" t="s">
        <v>352</v>
      </c>
      <c r="F13" s="2" t="s">
        <v>353</v>
      </c>
    </row>
    <row r="14" spans="1:6">
      <c r="A14" s="2" t="s">
        <v>354</v>
      </c>
      <c r="B14" s="2" t="s">
        <v>355</v>
      </c>
      <c r="C14" s="2" t="s">
        <v>356</v>
      </c>
      <c r="D14" s="2" t="s">
        <v>357</v>
      </c>
      <c r="E14" s="2" t="s">
        <v>358</v>
      </c>
      <c r="F14" s="2" t="s">
        <v>359</v>
      </c>
    </row>
    <row r="15" spans="1:6">
      <c r="A15" s="3" t="s">
        <v>219</v>
      </c>
      <c r="B15" s="3" t="s">
        <v>221</v>
      </c>
      <c r="C15" s="3" t="s">
        <v>223</v>
      </c>
      <c r="D15" s="3" t="s">
        <v>225</v>
      </c>
      <c r="E15" s="3" t="s">
        <v>227</v>
      </c>
      <c r="F15" s="3" t="s">
        <v>229</v>
      </c>
    </row>
    <row r="16" spans="1:6">
      <c r="A16" s="3" t="s">
        <v>360</v>
      </c>
      <c r="B16" s="3" t="s">
        <v>361</v>
      </c>
      <c r="C16" s="3" t="s">
        <v>362</v>
      </c>
      <c r="D16" s="3" t="s">
        <v>363</v>
      </c>
      <c r="E16" s="3" t="s">
        <v>364</v>
      </c>
      <c r="F16" s="3" t="s">
        <v>365</v>
      </c>
    </row>
    <row r="17" spans="1:6">
      <c r="A17" s="3" t="s">
        <v>366</v>
      </c>
      <c r="B17" s="3" t="s">
        <v>367</v>
      </c>
      <c r="C17" s="3" t="s">
        <v>368</v>
      </c>
      <c r="D17" s="3" t="s">
        <v>369</v>
      </c>
      <c r="E17" s="3" t="s">
        <v>370</v>
      </c>
      <c r="F17" s="3" t="s">
        <v>371</v>
      </c>
    </row>
    <row r="18" spans="1:6">
      <c r="A18" s="4" t="s">
        <v>372</v>
      </c>
      <c r="B18" s="4" t="s">
        <v>373</v>
      </c>
      <c r="C18" s="4" t="s">
        <v>374</v>
      </c>
      <c r="D18" s="4" t="s">
        <v>375</v>
      </c>
      <c r="E18" s="4" t="s">
        <v>376</v>
      </c>
      <c r="F18" s="4" t="s">
        <v>377</v>
      </c>
    </row>
    <row r="19" spans="1:6">
      <c r="A19" s="4" t="s">
        <v>378</v>
      </c>
      <c r="B19" s="4" t="s">
        <v>379</v>
      </c>
      <c r="C19" s="4" t="s">
        <v>380</v>
      </c>
      <c r="D19" s="4" t="s">
        <v>381</v>
      </c>
      <c r="E19" s="4" t="s">
        <v>382</v>
      </c>
      <c r="F19" s="4" t="s">
        <v>383</v>
      </c>
    </row>
    <row r="20" spans="1:6">
      <c r="A20" s="4" t="s">
        <v>384</v>
      </c>
      <c r="B20" s="4" t="s">
        <v>385</v>
      </c>
      <c r="C20" s="4" t="s">
        <v>386</v>
      </c>
      <c r="D20" s="4" t="s">
        <v>387</v>
      </c>
      <c r="E20" s="4" t="s">
        <v>388</v>
      </c>
      <c r="F20" s="4" t="s">
        <v>389</v>
      </c>
    </row>
    <row r="21" spans="1:6">
      <c r="A21" s="2" t="s">
        <v>390</v>
      </c>
      <c r="B21" s="2" t="s">
        <v>391</v>
      </c>
      <c r="C21" s="2" t="s">
        <v>392</v>
      </c>
      <c r="D21" s="2" t="s">
        <v>393</v>
      </c>
      <c r="E21" s="2" t="s">
        <v>394</v>
      </c>
      <c r="F21" s="2" t="s">
        <v>395</v>
      </c>
    </row>
    <row r="22" spans="1:6">
      <c r="A22" s="3" t="s">
        <v>123</v>
      </c>
      <c r="B22" s="3" t="s">
        <v>125</v>
      </c>
      <c r="C22" s="3" t="s">
        <v>127</v>
      </c>
      <c r="D22" s="3" t="s">
        <v>129</v>
      </c>
      <c r="E22" s="3" t="s">
        <v>131</v>
      </c>
      <c r="F22" s="3" t="s">
        <v>133</v>
      </c>
    </row>
    <row r="23" spans="1:6">
      <c r="A23" s="5" t="s">
        <v>135</v>
      </c>
      <c r="B23" s="5" t="s">
        <v>137</v>
      </c>
      <c r="C23" s="5" t="s">
        <v>139</v>
      </c>
      <c r="D23" s="5" t="s">
        <v>141</v>
      </c>
      <c r="E23" s="5" t="s">
        <v>143</v>
      </c>
      <c r="F23" s="1" t="s">
        <v>145</v>
      </c>
    </row>
    <row r="24" spans="1:6">
      <c r="A24" s="1" t="s">
        <v>147</v>
      </c>
      <c r="B24" s="1" t="s">
        <v>149</v>
      </c>
      <c r="C24" s="1" t="s">
        <v>151</v>
      </c>
      <c r="D24" s="1" t="s">
        <v>153</v>
      </c>
      <c r="E24" s="1" t="s">
        <v>155</v>
      </c>
      <c r="F24" s="1" t="s">
        <v>157</v>
      </c>
    </row>
    <row r="25" spans="1:6">
      <c r="A25" s="3" t="s">
        <v>159</v>
      </c>
      <c r="B25" s="3" t="s">
        <v>161</v>
      </c>
      <c r="C25" s="3" t="s">
        <v>163</v>
      </c>
      <c r="D25" s="3" t="s">
        <v>165</v>
      </c>
      <c r="E25" s="3" t="s">
        <v>167</v>
      </c>
      <c r="F25" s="3" t="s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sku商品编码</vt:lpstr>
      <vt:lpstr>成本表</vt:lpstr>
      <vt:lpstr>母婴奶粉编码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WPS_1340414076</cp:lastModifiedBy>
  <dcterms:created xsi:type="dcterms:W3CDTF">2025-12-12T03:06:00Z</dcterms:created>
  <dcterms:modified xsi:type="dcterms:W3CDTF">2026-04-14T03:19:33Z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1707A3339104483099F81568F2CA36F9_13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